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79d8f54f6e90f3/Desktop/"/>
    </mc:Choice>
  </mc:AlternateContent>
  <xr:revisionPtr revIDLastSave="4" documentId="8_{5F4B89DE-01E5-465A-AC7B-82283E94E25E}" xr6:coauthVersionLast="47" xr6:coauthVersionMax="47" xr10:uidLastSave="{25734FA1-DFA8-417A-B250-C17B5CB65E6F}"/>
  <bookViews>
    <workbookView xWindow="-120" yWindow="-120" windowWidth="29040" windowHeight="1572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S74" i="3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T46" i="3" s="1"/>
  <c r="S21" i="3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S39" i="3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74" i="3"/>
  <c r="T28" i="3"/>
  <c r="T51" i="3"/>
  <c r="S54" i="3"/>
  <c r="S77" i="3"/>
  <c r="S50" i="3"/>
  <c r="S76" i="3"/>
  <c r="S47" i="3"/>
  <c r="S67" i="3"/>
  <c r="T23" i="3"/>
  <c r="T48" i="3"/>
  <c r="T43" i="3"/>
  <c r="S72" i="3"/>
  <c r="S70" i="3"/>
  <c r="T21" i="3"/>
  <c r="S42" i="3"/>
  <c r="S64" i="3"/>
  <c r="S40" i="3"/>
  <c r="S62" i="3"/>
  <c r="T16" i="3"/>
  <c r="T39" i="3"/>
  <c r="S38" i="3"/>
  <c r="S65" i="3"/>
  <c r="S55" i="3"/>
  <c r="S57" i="3"/>
  <c r="T14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69" i="3"/>
  <c r="AP69" i="3" s="1"/>
  <c r="BI20" i="3"/>
  <c r="AP20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35" i="3" l="1"/>
  <c r="AR71" i="3"/>
  <c r="AR33" i="3"/>
  <c r="AR34" i="3"/>
  <c r="AR27" i="3"/>
  <c r="AR9" i="3"/>
  <c r="AR10" i="3"/>
  <c r="AR11" i="3"/>
  <c r="AD11" i="3" s="1"/>
  <c r="AR28" i="3"/>
  <c r="AR77" i="3"/>
  <c r="AD77" i="3" s="1"/>
  <c r="AR69" i="3"/>
  <c r="AR29" i="3"/>
  <c r="AD27" i="3" s="1"/>
  <c r="AR75" i="3"/>
  <c r="AR76" i="3"/>
  <c r="AR70" i="3"/>
  <c r="AR22" i="3"/>
  <c r="AR21" i="3"/>
  <c r="AR65" i="3"/>
  <c r="AR40" i="3"/>
  <c r="AR41" i="3"/>
  <c r="AR23" i="3"/>
  <c r="AR51" i="3"/>
  <c r="AR52" i="3"/>
  <c r="AR53" i="3"/>
  <c r="AD53" i="3" s="1"/>
  <c r="AR46" i="3"/>
  <c r="AR15" i="3"/>
  <c r="AR45" i="3"/>
  <c r="AR63" i="3"/>
  <c r="AR47" i="3"/>
  <c r="AR64" i="3"/>
  <c r="AR39" i="3"/>
  <c r="AD56" i="3"/>
  <c r="AR16" i="3"/>
  <c r="AR17" i="3"/>
  <c r="AD59" i="3"/>
  <c r="AD74" i="3" l="1"/>
  <c r="AD33" i="3"/>
  <c r="AD71" i="3"/>
  <c r="AD62" i="3"/>
  <c r="AD9" i="3"/>
  <c r="AD28" i="3"/>
  <c r="N58" i="3"/>
  <c r="AD10" i="3"/>
  <c r="AD39" i="3"/>
  <c r="AD8" i="3"/>
  <c r="AD34" i="3"/>
  <c r="AD35" i="3"/>
  <c r="AD32" i="3"/>
  <c r="AD26" i="3"/>
  <c r="AD68" i="3"/>
  <c r="AD76" i="3"/>
  <c r="AD29" i="3"/>
  <c r="AD70" i="3"/>
  <c r="L59" i="3"/>
  <c r="AD63" i="3"/>
  <c r="AD75" i="3"/>
  <c r="O60" i="3"/>
  <c r="AD15" i="3"/>
  <c r="AD69" i="3"/>
  <c r="AD41" i="3"/>
  <c r="AD20" i="3"/>
  <c r="M59" i="3"/>
  <c r="L58" i="3"/>
  <c r="M58" i="3"/>
  <c r="AD22" i="3"/>
  <c r="AD21" i="3"/>
  <c r="AD47" i="3"/>
  <c r="AD14" i="3"/>
  <c r="AD44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J33" i="3" l="1"/>
  <c r="AS32" i="3" s="1"/>
  <c r="BL10" i="3" s="1"/>
  <c r="M63" i="3"/>
  <c r="L30" i="3"/>
  <c r="L12" i="3"/>
  <c r="J12" i="3"/>
  <c r="M69" i="3"/>
  <c r="M11" i="3"/>
  <c r="N11" i="3"/>
  <c r="O10" i="3"/>
  <c r="L10" i="3"/>
  <c r="J11" i="3"/>
  <c r="AE80" i="3" s="1"/>
  <c r="AQ80" i="3" s="1"/>
  <c r="O11" i="3"/>
  <c r="N10" i="3"/>
  <c r="L11" i="3"/>
  <c r="L9" i="3"/>
  <c r="N9" i="3"/>
  <c r="N12" i="3"/>
  <c r="L28" i="3"/>
  <c r="O9" i="3"/>
  <c r="L64" i="3"/>
  <c r="N36" i="3"/>
  <c r="M34" i="3"/>
  <c r="L35" i="3"/>
  <c r="L36" i="3"/>
  <c r="J35" i="3"/>
  <c r="AE84" i="3" s="1"/>
  <c r="AQ84" i="3" s="1"/>
  <c r="J39" i="3"/>
  <c r="AS38" i="3" s="1"/>
  <c r="BL22" i="3" s="1"/>
  <c r="N30" i="3"/>
  <c r="M35" i="3"/>
  <c r="M33" i="3"/>
  <c r="O33" i="3"/>
  <c r="N78" i="3"/>
  <c r="L65" i="3"/>
  <c r="L33" i="3"/>
  <c r="J34" i="3"/>
  <c r="AS33" i="3" s="1"/>
  <c r="BL46" i="3" s="1"/>
  <c r="M10" i="3"/>
  <c r="O12" i="3"/>
  <c r="L63" i="3"/>
  <c r="P63" i="3" s="1"/>
  <c r="J36" i="3"/>
  <c r="O63" i="3"/>
  <c r="N63" i="3"/>
  <c r="N34" i="3"/>
  <c r="O34" i="3"/>
  <c r="M12" i="3"/>
  <c r="O36" i="3"/>
  <c r="J63" i="3"/>
  <c r="AS62" i="3" s="1"/>
  <c r="BL58" i="3" s="1"/>
  <c r="BS60" i="3" s="1"/>
  <c r="L34" i="3"/>
  <c r="P34" i="3" s="1"/>
  <c r="L27" i="3"/>
  <c r="M9" i="3"/>
  <c r="O35" i="3"/>
  <c r="N29" i="3"/>
  <c r="O72" i="3"/>
  <c r="N75" i="3"/>
  <c r="O78" i="3"/>
  <c r="O75" i="3"/>
  <c r="N71" i="3"/>
  <c r="O71" i="3"/>
  <c r="N70" i="3"/>
  <c r="L75" i="3"/>
  <c r="M71" i="3"/>
  <c r="M70" i="3"/>
  <c r="L78" i="3"/>
  <c r="M78" i="3"/>
  <c r="M27" i="3"/>
  <c r="L72" i="3"/>
  <c r="M75" i="3"/>
  <c r="J75" i="3"/>
  <c r="AS74" i="3" s="1"/>
  <c r="BL54" i="3" s="1"/>
  <c r="O29" i="3"/>
  <c r="M72" i="3"/>
  <c r="L29" i="3"/>
  <c r="N28" i="3"/>
  <c r="N27" i="3"/>
  <c r="O70" i="3"/>
  <c r="J27" i="3"/>
  <c r="AS26" i="3" s="1"/>
  <c r="BL34" i="3" s="1"/>
  <c r="J69" i="3"/>
  <c r="AS68" i="3" s="1"/>
  <c r="BL70" i="3" s="1"/>
  <c r="O27" i="3"/>
  <c r="O30" i="3"/>
  <c r="M28" i="3"/>
  <c r="M30" i="3"/>
  <c r="J28" i="3"/>
  <c r="AS27" i="3" s="1"/>
  <c r="BL62" i="3" s="1"/>
  <c r="BS61" i="3" s="1"/>
  <c r="J29" i="3"/>
  <c r="AE83" i="3" s="1"/>
  <c r="AQ83" i="3" s="1"/>
  <c r="J71" i="3"/>
  <c r="AE90" i="3" s="1"/>
  <c r="AQ90" i="3" s="1"/>
  <c r="O28" i="3"/>
  <c r="M29" i="3"/>
  <c r="P29" i="3" s="1"/>
  <c r="L70" i="3"/>
  <c r="J70" i="3"/>
  <c r="AS69" i="3" s="1"/>
  <c r="BL26" i="3" s="1"/>
  <c r="O69" i="3"/>
  <c r="M45" i="3"/>
  <c r="N69" i="3"/>
  <c r="N35" i="3"/>
  <c r="N33" i="3"/>
  <c r="J30" i="3"/>
  <c r="J9" i="3"/>
  <c r="AS8" i="3" s="1"/>
  <c r="BL50" i="3" s="1"/>
  <c r="J72" i="3"/>
  <c r="M36" i="3"/>
  <c r="J10" i="3"/>
  <c r="AS9" i="3" s="1"/>
  <c r="BL18" i="3" s="1"/>
  <c r="O51" i="3"/>
  <c r="M65" i="3"/>
  <c r="P65" i="3" s="1"/>
  <c r="O45" i="3"/>
  <c r="L45" i="3"/>
  <c r="P45" i="3" s="1"/>
  <c r="J45" i="3"/>
  <c r="AS44" i="3" s="1"/>
  <c r="BL38" i="3" s="1"/>
  <c r="N72" i="3"/>
  <c r="L69" i="3"/>
  <c r="P69" i="3" s="1"/>
  <c r="L51" i="3"/>
  <c r="N77" i="3"/>
  <c r="M76" i="3"/>
  <c r="M51" i="3"/>
  <c r="L76" i="3"/>
  <c r="N76" i="3"/>
  <c r="O77" i="3"/>
  <c r="J65" i="3"/>
  <c r="AE89" i="3" s="1"/>
  <c r="AQ89" i="3" s="1"/>
  <c r="O65" i="3"/>
  <c r="J77" i="3"/>
  <c r="AE91" i="3" s="1"/>
  <c r="AQ91" i="3" s="1"/>
  <c r="L77" i="3"/>
  <c r="J76" i="3"/>
  <c r="AS75" i="3" s="1"/>
  <c r="BL27" i="3" s="1"/>
  <c r="N65" i="3"/>
  <c r="N45" i="3"/>
  <c r="M77" i="3"/>
  <c r="J78" i="3"/>
  <c r="O76" i="3"/>
  <c r="M64" i="3"/>
  <c r="P59" i="3"/>
  <c r="O22" i="3"/>
  <c r="O21" i="3"/>
  <c r="K58" i="3"/>
  <c r="J22" i="3"/>
  <c r="AS21" i="3" s="1"/>
  <c r="BL23" i="3" s="1"/>
  <c r="N22" i="3"/>
  <c r="M16" i="3"/>
  <c r="N40" i="3"/>
  <c r="O48" i="3"/>
  <c r="L22" i="3"/>
  <c r="L71" i="3"/>
  <c r="P71" i="3" s="1"/>
  <c r="M22" i="3"/>
  <c r="K59" i="3"/>
  <c r="J66" i="3"/>
  <c r="N24" i="3"/>
  <c r="M24" i="3"/>
  <c r="L40" i="3"/>
  <c r="J24" i="3"/>
  <c r="M40" i="3"/>
  <c r="J21" i="3"/>
  <c r="AS20" i="3" s="1"/>
  <c r="BL42" i="3" s="1"/>
  <c r="BS44" i="3" s="1"/>
  <c r="O23" i="3"/>
  <c r="N23" i="3"/>
  <c r="L24" i="3"/>
  <c r="M41" i="3"/>
  <c r="M21" i="3"/>
  <c r="L18" i="3"/>
  <c r="O42" i="3"/>
  <c r="L21" i="3"/>
  <c r="L42" i="3"/>
  <c r="L39" i="3"/>
  <c r="J18" i="3"/>
  <c r="P58" i="3"/>
  <c r="O40" i="3"/>
  <c r="N21" i="3"/>
  <c r="M18" i="3"/>
  <c r="N41" i="3"/>
  <c r="L41" i="3"/>
  <c r="O17" i="3"/>
  <c r="K57" i="3"/>
  <c r="O41" i="3"/>
  <c r="M42" i="3"/>
  <c r="J42" i="3"/>
  <c r="O54" i="3"/>
  <c r="L23" i="3"/>
  <c r="J23" i="3"/>
  <c r="AE82" i="3" s="1"/>
  <c r="AQ82" i="3" s="1"/>
  <c r="J51" i="3"/>
  <c r="AS50" i="3" s="1"/>
  <c r="BL30" i="3" s="1"/>
  <c r="O39" i="3"/>
  <c r="N39" i="3"/>
  <c r="N18" i="3"/>
  <c r="N51" i="3"/>
  <c r="M39" i="3"/>
  <c r="J40" i="3"/>
  <c r="AS39" i="3" s="1"/>
  <c r="BL43" i="3" s="1"/>
  <c r="O24" i="3"/>
  <c r="O18" i="3"/>
  <c r="J16" i="3"/>
  <c r="AS15" i="3" s="1"/>
  <c r="BL19" i="3" s="1"/>
  <c r="N54" i="3"/>
  <c r="J52" i="3"/>
  <c r="AS51" i="3" s="1"/>
  <c r="BL59" i="3" s="1"/>
  <c r="M66" i="3"/>
  <c r="O53" i="3"/>
  <c r="L16" i="3"/>
  <c r="P57" i="3"/>
  <c r="M54" i="3"/>
  <c r="N66" i="3"/>
  <c r="L66" i="3"/>
  <c r="O52" i="3"/>
  <c r="O16" i="3"/>
  <c r="L54" i="3"/>
  <c r="M52" i="3"/>
  <c r="N16" i="3"/>
  <c r="M46" i="3"/>
  <c r="J53" i="3"/>
  <c r="AE87" i="3" s="1"/>
  <c r="AQ87" i="3" s="1"/>
  <c r="M53" i="3"/>
  <c r="N52" i="3"/>
  <c r="L53" i="3"/>
  <c r="N53" i="3"/>
  <c r="O64" i="3"/>
  <c r="J64" i="3"/>
  <c r="AS63" i="3" s="1"/>
  <c r="BL31" i="3" s="1"/>
  <c r="N64" i="3"/>
  <c r="J54" i="3"/>
  <c r="M23" i="3"/>
  <c r="P23" i="3" s="1"/>
  <c r="O66" i="3"/>
  <c r="L52" i="3"/>
  <c r="L17" i="3"/>
  <c r="J17" i="3"/>
  <c r="AE81" i="3" s="1"/>
  <c r="AQ81" i="3" s="1"/>
  <c r="L46" i="3"/>
  <c r="M17" i="3"/>
  <c r="L15" i="3"/>
  <c r="J46" i="3"/>
  <c r="AS45" i="3" s="1"/>
  <c r="BL63" i="3" s="1"/>
  <c r="N15" i="3"/>
  <c r="J48" i="3"/>
  <c r="L48" i="3"/>
  <c r="N48" i="3"/>
  <c r="N17" i="3"/>
  <c r="J41" i="3"/>
  <c r="AE85" i="3" s="1"/>
  <c r="AQ85" i="3" s="1"/>
  <c r="J47" i="3"/>
  <c r="AE86" i="3" s="1"/>
  <c r="AQ86" i="3" s="1"/>
  <c r="AT88" i="3"/>
  <c r="AN88" i="3"/>
  <c r="AL88" i="3"/>
  <c r="O46" i="3"/>
  <c r="AJ88" i="3"/>
  <c r="AI88" i="3"/>
  <c r="M48" i="3"/>
  <c r="N46" i="3"/>
  <c r="AG88" i="3"/>
  <c r="M47" i="3"/>
  <c r="L47" i="3"/>
  <c r="AF88" i="3"/>
  <c r="AH88" i="3"/>
  <c r="N47" i="3"/>
  <c r="O47" i="3"/>
  <c r="N42" i="3"/>
  <c r="P60" i="3"/>
  <c r="K60" i="3"/>
  <c r="M15" i="3"/>
  <c r="O15" i="3"/>
  <c r="J15" i="3"/>
  <c r="AS14" i="3" s="1"/>
  <c r="BL66" i="3" s="1"/>
  <c r="AF90" i="3"/>
  <c r="AG90" i="3"/>
  <c r="AH90" i="3"/>
  <c r="AI90" i="3"/>
  <c r="AF83" i="3"/>
  <c r="AG83" i="3"/>
  <c r="AH83" i="3"/>
  <c r="AI83" i="3"/>
  <c r="AJ83" i="3"/>
  <c r="AL83" i="3"/>
  <c r="AN83" i="3"/>
  <c r="AT83" i="3"/>
  <c r="K10" i="3"/>
  <c r="AF80" i="3"/>
  <c r="AG80" i="3"/>
  <c r="AH80" i="3"/>
  <c r="AI80" i="3"/>
  <c r="AJ80" i="3"/>
  <c r="AL80" i="3"/>
  <c r="AN80" i="3"/>
  <c r="AT80" i="3"/>
  <c r="AN90" i="3" l="1"/>
  <c r="AL90" i="3"/>
  <c r="AJ90" i="3"/>
  <c r="P10" i="3"/>
  <c r="K11" i="3"/>
  <c r="K27" i="3"/>
  <c r="P12" i="3"/>
  <c r="K63" i="3"/>
  <c r="P35" i="3"/>
  <c r="K29" i="3"/>
  <c r="AT84" i="3"/>
  <c r="AN84" i="3"/>
  <c r="AL84" i="3"/>
  <c r="AJ84" i="3"/>
  <c r="P27" i="3"/>
  <c r="P36" i="3"/>
  <c r="P11" i="3"/>
  <c r="K35" i="3"/>
  <c r="P33" i="3"/>
  <c r="P70" i="3"/>
  <c r="AH84" i="3"/>
  <c r="AI84" i="3"/>
  <c r="AG84" i="3"/>
  <c r="AF84" i="3"/>
  <c r="K45" i="3"/>
  <c r="K33" i="3"/>
  <c r="K30" i="3"/>
  <c r="S91" i="3"/>
  <c r="T91" i="3" s="1" a="1"/>
  <c r="T91" i="3" s="1"/>
  <c r="BS37" i="3"/>
  <c r="S86" i="3"/>
  <c r="T86" i="3" s="1" a="1"/>
  <c r="T86" i="3" s="1"/>
  <c r="BS28" i="3"/>
  <c r="S87" i="3"/>
  <c r="T87" i="3" s="1" a="1"/>
  <c r="T87" i="3" s="1"/>
  <c r="BS29" i="3"/>
  <c r="BZ64" i="3"/>
  <c r="S89" i="3"/>
  <c r="T89" i="3" s="1" a="1"/>
  <c r="T89" i="3" s="1"/>
  <c r="BS21" i="3"/>
  <c r="S88" i="3"/>
  <c r="T88" i="3" s="1" a="1"/>
  <c r="T88" i="3" s="1"/>
  <c r="BS20" i="3"/>
  <c r="P72" i="3"/>
  <c r="P28" i="3"/>
  <c r="P64" i="3"/>
  <c r="P9" i="3"/>
  <c r="AT91" i="3"/>
  <c r="P76" i="3"/>
  <c r="AN91" i="3"/>
  <c r="K69" i="3"/>
  <c r="AL91" i="3"/>
  <c r="AJ91" i="3"/>
  <c r="AI91" i="3"/>
  <c r="K76" i="3"/>
  <c r="AH91" i="3"/>
  <c r="AF91" i="3"/>
  <c r="AG91" i="3"/>
  <c r="AL89" i="3"/>
  <c r="AI89" i="3"/>
  <c r="AJ89" i="3"/>
  <c r="AH89" i="3"/>
  <c r="AG89" i="3"/>
  <c r="AF89" i="3"/>
  <c r="AT89" i="3"/>
  <c r="K36" i="3"/>
  <c r="AN89" i="3"/>
  <c r="K9" i="3"/>
  <c r="K71" i="3"/>
  <c r="K70" i="3"/>
  <c r="K12" i="3"/>
  <c r="K34" i="3"/>
  <c r="P77" i="3"/>
  <c r="P75" i="3"/>
  <c r="K78" i="3"/>
  <c r="K75" i="3"/>
  <c r="K28" i="3"/>
  <c r="K77" i="3"/>
  <c r="AT90" i="3"/>
  <c r="P78" i="3"/>
  <c r="K65" i="3"/>
  <c r="K64" i="3"/>
  <c r="P42" i="3"/>
  <c r="K72" i="3"/>
  <c r="P30" i="3"/>
  <c r="P51" i="3"/>
  <c r="K51" i="3"/>
  <c r="P16" i="3"/>
  <c r="K22" i="3"/>
  <c r="AH82" i="3"/>
  <c r="P39" i="3"/>
  <c r="P18" i="3"/>
  <c r="P22" i="3"/>
  <c r="AL87" i="3"/>
  <c r="P24" i="3"/>
  <c r="K24" i="3"/>
  <c r="AJ87" i="3"/>
  <c r="AI87" i="3"/>
  <c r="AG87" i="3"/>
  <c r="K40" i="3"/>
  <c r="AH87" i="3"/>
  <c r="AL82" i="3"/>
  <c r="AJ82" i="3"/>
  <c r="AF87" i="3"/>
  <c r="AI82" i="3"/>
  <c r="K39" i="3"/>
  <c r="K41" i="3"/>
  <c r="AH86" i="3"/>
  <c r="P40" i="3"/>
  <c r="K42" i="3"/>
  <c r="P17" i="3"/>
  <c r="P54" i="3"/>
  <c r="P46" i="3"/>
  <c r="P41" i="3"/>
  <c r="AT82" i="3"/>
  <c r="AF85" i="3"/>
  <c r="P53" i="3"/>
  <c r="AT81" i="3"/>
  <c r="AN82" i="3"/>
  <c r="AG82" i="3"/>
  <c r="AG81" i="3"/>
  <c r="AL85" i="3"/>
  <c r="AF81" i="3"/>
  <c r="AJ85" i="3"/>
  <c r="K46" i="3"/>
  <c r="AF82" i="3"/>
  <c r="K16" i="3"/>
  <c r="AH85" i="3"/>
  <c r="P21" i="3"/>
  <c r="AN81" i="3"/>
  <c r="AL81" i="3"/>
  <c r="AH81" i="3"/>
  <c r="AG85" i="3"/>
  <c r="K21" i="3"/>
  <c r="P52" i="3"/>
  <c r="K54" i="3"/>
  <c r="K18" i="3"/>
  <c r="K53" i="3"/>
  <c r="P15" i="3"/>
  <c r="P66" i="3"/>
  <c r="K48" i="3"/>
  <c r="AT85" i="3"/>
  <c r="AN85" i="3"/>
  <c r="AI85" i="3"/>
  <c r="AF86" i="3"/>
  <c r="K66" i="3"/>
  <c r="P48" i="3"/>
  <c r="K15" i="3"/>
  <c r="K52" i="3"/>
  <c r="AJ81" i="3"/>
  <c r="K23" i="3"/>
  <c r="AT87" i="3"/>
  <c r="AI81" i="3"/>
  <c r="AN87" i="3"/>
  <c r="K47" i="3"/>
  <c r="K17" i="3"/>
  <c r="AG86" i="3"/>
  <c r="P47" i="3"/>
  <c r="AT86" i="3"/>
  <c r="AN86" i="3"/>
  <c r="AL86" i="3"/>
  <c r="AJ86" i="3"/>
  <c r="AI86" i="3"/>
  <c r="BZ17" i="3" l="1"/>
  <c r="U102" i="3" s="1"/>
  <c r="AC102" i="3" s="1" a="1"/>
  <c r="AC102" i="3" s="1"/>
  <c r="S96" i="3"/>
  <c r="T96" i="3" s="1" a="1"/>
  <c r="T96" i="3" s="1"/>
  <c r="S97" i="3"/>
  <c r="T97" i="3" s="1" a="1"/>
  <c r="T97" i="3" s="1"/>
  <c r="BZ32" i="3"/>
  <c r="S98" i="3"/>
  <c r="T98" i="3" s="1" a="1"/>
  <c r="T98" i="3" s="1"/>
  <c r="BZ33" i="3"/>
  <c r="U103" i="3" s="1"/>
  <c r="AC103" i="3" s="1" a="1"/>
  <c r="AC103" i="3" s="1"/>
  <c r="AH92" i="3"/>
  <c r="AL92" i="3"/>
  <c r="AM88" i="3" s="1"/>
  <c r="AJ92" i="3"/>
  <c r="AG92" i="3"/>
  <c r="AF92" i="3"/>
  <c r="AS92" i="3"/>
  <c r="AI92" i="3"/>
  <c r="AN92" i="3"/>
  <c r="AM82" i="3" l="1"/>
  <c r="AM90" i="3"/>
  <c r="S103" i="3"/>
  <c r="T103" i="3" s="1" a="1"/>
  <c r="T103" i="3" s="1"/>
  <c r="CG24" i="3"/>
  <c r="S111" i="3" s="1"/>
  <c r="T111" i="3" s="1"/>
  <c r="AM91" i="3"/>
  <c r="AM83" i="3"/>
  <c r="AM84" i="3"/>
  <c r="AM85" i="3"/>
  <c r="AM86" i="3"/>
  <c r="AM87" i="3"/>
  <c r="AM81" i="3"/>
  <c r="AM80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3" i="3"/>
  <c r="AP85" i="3"/>
  <c r="AP88" i="3"/>
  <c r="AP81" i="3"/>
  <c r="AP91" i="3"/>
  <c r="AP82" i="3"/>
  <c r="AP90" i="3"/>
  <c r="AP89" i="3"/>
  <c r="AD89" i="3" s="1"/>
  <c r="AS89" i="3" s="1"/>
  <c r="AP86" i="3"/>
  <c r="AD86" i="3" s="1"/>
  <c r="AS86" i="3" s="1"/>
  <c r="AP84" i="3"/>
  <c r="AD84" i="3" s="1"/>
  <c r="AS84" i="3" s="1"/>
  <c r="AP80" i="3"/>
  <c r="CN37" i="3" l="1"/>
  <c r="CK68" i="3" s="1"/>
  <c r="CN48" i="3"/>
  <c r="AD82" i="3"/>
  <c r="AS82" i="3" s="1"/>
  <c r="AD81" i="3"/>
  <c r="AS81" i="3" s="1"/>
  <c r="AD85" i="3"/>
  <c r="AS85" i="3" s="1"/>
  <c r="AD88" i="3"/>
  <c r="AS88" i="3" s="1"/>
  <c r="AD90" i="3"/>
  <c r="AS90" i="3" s="1"/>
  <c r="AD87" i="3"/>
  <c r="AS87" i="3" s="1"/>
  <c r="AD91" i="3"/>
  <c r="AS91" i="3" s="1"/>
  <c r="AD83" i="3"/>
  <c r="AS83" i="3" s="1"/>
  <c r="AD80" i="3"/>
  <c r="M87" i="3" l="1"/>
  <c r="J84" i="3"/>
  <c r="J86" i="3"/>
  <c r="O81" i="3"/>
  <c r="M90" i="3"/>
  <c r="J89" i="3"/>
  <c r="O92" i="3"/>
  <c r="N88" i="3"/>
  <c r="N84" i="3"/>
  <c r="N86" i="3"/>
  <c r="N82" i="3"/>
  <c r="M81" i="3"/>
  <c r="N87" i="3"/>
  <c r="J83" i="3"/>
  <c r="M92" i="3"/>
  <c r="M91" i="3"/>
  <c r="J81" i="3"/>
  <c r="L83" i="3"/>
  <c r="O83" i="3"/>
  <c r="L87" i="3"/>
  <c r="L90" i="3"/>
  <c r="P90" i="3" s="1"/>
  <c r="J88" i="3"/>
  <c r="L91" i="3"/>
  <c r="J91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AS80" i="3"/>
  <c r="L82" i="3"/>
  <c r="O82" i="3"/>
  <c r="N83" i="3"/>
  <c r="L86" i="3"/>
  <c r="N81" i="3"/>
  <c r="O87" i="3"/>
  <c r="J85" i="3"/>
  <c r="M88" i="3"/>
  <c r="O86" i="3"/>
  <c r="L84" i="3"/>
  <c r="J92" i="3"/>
  <c r="N85" i="3"/>
  <c r="O85" i="3"/>
  <c r="O88" i="3"/>
  <c r="J90" i="3"/>
  <c r="J87" i="3"/>
  <c r="J82" i="3"/>
  <c r="O89" i="3"/>
  <c r="O91" i="3"/>
  <c r="L88" i="3"/>
  <c r="M86" i="3"/>
  <c r="K86" i="3" s="1"/>
  <c r="M82" i="3"/>
  <c r="K82" i="3" s="1"/>
  <c r="M89" i="3"/>
  <c r="N89" i="3"/>
  <c r="L89" i="3"/>
  <c r="N92" i="3"/>
  <c r="N90" i="3"/>
  <c r="M85" i="3"/>
  <c r="L92" i="3"/>
  <c r="O90" i="3"/>
  <c r="O84" i="3"/>
  <c r="N91" i="3"/>
  <c r="L85" i="3"/>
  <c r="M84" i="3"/>
  <c r="M83" i="3"/>
  <c r="L81" i="3"/>
  <c r="P88" i="3" l="1"/>
  <c r="P87" i="3"/>
  <c r="P81" i="3"/>
  <c r="S90" i="3"/>
  <c r="T90" i="3" s="1" a="1"/>
  <c r="T90" i="3" s="1"/>
  <c r="BS36" i="3"/>
  <c r="K87" i="3"/>
  <c r="K84" i="3"/>
  <c r="K90" i="3"/>
  <c r="P91" i="3"/>
  <c r="P82" i="3"/>
  <c r="K88" i="3"/>
  <c r="K89" i="3"/>
  <c r="K81" i="3"/>
  <c r="H3" i="4"/>
  <c r="BL39" i="3" s="1"/>
  <c r="K83" i="3"/>
  <c r="P83" i="3"/>
  <c r="D3" i="4"/>
  <c r="BL51" i="3" s="1"/>
  <c r="K3" i="4"/>
  <c r="BL55" i="3" s="1"/>
  <c r="B3" i="4"/>
  <c r="P84" i="3"/>
  <c r="E3" i="4"/>
  <c r="BL67" i="3" s="1"/>
  <c r="BS68" i="3" s="1"/>
  <c r="G3" i="4"/>
  <c r="BL11" i="3" s="1"/>
  <c r="P86" i="3"/>
  <c r="K91" i="3"/>
  <c r="J3" i="4"/>
  <c r="BL71" i="3" s="1"/>
  <c r="P89" i="3"/>
  <c r="K92" i="3"/>
  <c r="I3" i="4"/>
  <c r="BL15" i="3" s="1"/>
  <c r="K85" i="3"/>
  <c r="P85" i="3"/>
  <c r="P92" i="3"/>
  <c r="BS53" i="3"/>
  <c r="BS52" i="3"/>
  <c r="BZ49" i="3" s="1"/>
  <c r="CG55" i="3" s="1"/>
  <c r="CN38" i="3" s="1"/>
  <c r="BS69" i="3"/>
  <c r="BZ65" i="3" s="1"/>
  <c r="CG56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<sst xmlns="http://schemas.openxmlformats.org/spreadsheetml/2006/main" count="9786" uniqueCount="3698">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</sst>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K25" zoomScaleNormal="100" workbookViewId="0">
      <selection activeCell="CG44" sqref="CG44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1</v>
      </c>
      <c r="G7" s="15">
        <v>3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Mexico_lose</v>
      </c>
      <c r="T7" s="127" t="str">
        <f t="shared" ref="T7:T46" si="2">IF(S7="","",IF(F7&lt;G7,H7&amp;"_win",IF(F7&gt;G7,H7&amp;"_lose",H7&amp;"_draw")))</f>
        <v>South Africa_win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-1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4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0</v>
      </c>
      <c r="AH8" s="123">
        <f>COUNTIF($S$7:$T$78,"=" &amp; AE8 &amp; "_lose")</f>
        <v>1</v>
      </c>
      <c r="AI8" s="123">
        <f>SUMIF($E$7:$E$78,$AE8,$F$7:$F$78) + SUMIF($H$7:$H$78,$AE8,$G$7:$G$78)</f>
        <v>9</v>
      </c>
      <c r="AJ8" s="123">
        <f>SUMIF($E$7:$E$78,$AE8,$G$7:$G$78) + SUMIF($H$7:$H$78,$AE8,$F$7:$F$78)</f>
        <v>6</v>
      </c>
      <c r="AL8" s="123">
        <f>AI8-AJ8</f>
        <v>3</v>
      </c>
      <c r="AM8" s="123">
        <f>AL8-AL12</f>
        <v>10</v>
      </c>
      <c r="AN8" s="123">
        <f>AF8*3+AG8</f>
        <v>6</v>
      </c>
      <c r="AO8" s="123">
        <f>AN8/AN12*10+BA8</f>
        <v>6</v>
      </c>
      <c r="AP8" s="123">
        <f>AO8*10000000+BI8*100+AM8/AM12*10+AI8/AI12*1++IF(AQ8=0,ROW(),AQ8)/2000000</f>
        <v>60000008.593148209</v>
      </c>
      <c r="AQ8" s="126">
        <f>VLOOKUP(AE8,db_fifarank,2,FALSE)</f>
        <v>1681.03</v>
      </c>
      <c r="AR8" s="125">
        <f>AP8/AP12</f>
        <v>0.66666668043139254</v>
      </c>
      <c r="AS8" s="125" t="str">
        <f>IF(SUM(AF8:AH11)=12,J9,"1A")</f>
        <v>South Africa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3</v>
      </c>
      <c r="G9" s="20">
        <v>1</v>
      </c>
      <c r="H9" s="80" t="str">
        <f>AE15</f>
        <v>Bosnia and Herzegovina</v>
      </c>
      <c r="J9" s="30" t="str">
        <f>VLOOKUP(1,AD8:AN11,2,FALSE)</f>
        <v>South Africa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8 - 3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1</v>
      </c>
      <c r="AE9" s="124" t="str">
        <f>VLOOKUP("South Africa",T,lang,FALSE)</f>
        <v>South Africa</v>
      </c>
      <c r="AF9" s="123">
        <f>COUNTIF($S$7:$T$78,"=" &amp; AE9 &amp; "_win")</f>
        <v>3</v>
      </c>
      <c r="AG9" s="123">
        <f>COUNTIF($S$7:$T$78,"=" &amp; AE9 &amp; "_draw")</f>
        <v>0</v>
      </c>
      <c r="AH9" s="123">
        <f>COUNTIF($S$7:$T$78,"=" &amp; AE9 &amp; "_lose")</f>
        <v>0</v>
      </c>
      <c r="AI9" s="123">
        <f>SUMIF($E$7:$E$78,$AE9,$F$7:$F$78) + SUMIF($H$7:$H$78,$AE9,$G$7:$G$78)</f>
        <v>8</v>
      </c>
      <c r="AJ9" s="123">
        <f>SUMIF($E$7:$E$78,$AE9,$G$7:$G$78) + SUMIF($H$7:$H$78,$AE9,$F$7:$F$78)</f>
        <v>3</v>
      </c>
      <c r="AL9" s="123">
        <f>AI9-AJ9</f>
        <v>5</v>
      </c>
      <c r="AM9" s="123">
        <f>AL9-AL12</f>
        <v>12</v>
      </c>
      <c r="AN9" s="123">
        <f>AF9*3+AG9</f>
        <v>9</v>
      </c>
      <c r="AO9" s="123">
        <f>AN9/AN12*10+BA9</f>
        <v>9</v>
      </c>
      <c r="AP9" s="123">
        <f>AO9*10000000+BI9*100+AM9/AM12*10+AI9/AI12*1++IF(AQ9=0,ROW(),AQ9)/2000000</f>
        <v>90000010.031484097</v>
      </c>
      <c r="AQ9" s="126">
        <f>VLOOKUP(AE9,db_fifarank,2,FALSE)</f>
        <v>1429.73</v>
      </c>
      <c r="AR9" s="125">
        <f>AP9/AP12</f>
        <v>0.9999999888888903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4</v>
      </c>
      <c r="G10" s="20">
        <v>2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9 - 6</v>
      </c>
      <c r="P10" s="34">
        <f>L10*3+M10</f>
        <v>6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0</v>
      </c>
      <c r="AH10" s="123">
        <f>COUNTIF($S$7:$T$78,"=" &amp; AE10 &amp; "_lose")</f>
        <v>3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12</v>
      </c>
      <c r="AL10" s="123">
        <f>AI10-AJ10</f>
        <v>-7</v>
      </c>
      <c r="AM10" s="123">
        <f>AL10-AL12</f>
        <v>0</v>
      </c>
      <c r="AN10" s="123">
        <f>AF10*3+AG10</f>
        <v>0</v>
      </c>
      <c r="AO10" s="123">
        <f>AN10/AN12*10+BA10</f>
        <v>0</v>
      </c>
      <c r="AP10" s="123">
        <f>AO10*10000000+BI10*100+AM10/AM12*10+AI10/AI12*1++IF(AQ10=0,ROW(),AQ10)/2000000</f>
        <v>0.50079432999999995</v>
      </c>
      <c r="AQ10" s="126">
        <f>VLOOKUP(AE10,db_fifarank,2,FALSE)</f>
        <v>1588.66</v>
      </c>
      <c r="AR10" s="125">
        <f>AP10/AP12</f>
        <v>5.5643807624069118E-9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Ecuador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1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5 - 6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6</v>
      </c>
      <c r="AL11" s="123">
        <f>AI11-AJ11</f>
        <v>-1</v>
      </c>
      <c r="AM11" s="123">
        <f>AL11-AL12</f>
        <v>6</v>
      </c>
      <c r="AN11" s="123">
        <f>AF11*3+AG11</f>
        <v>3</v>
      </c>
      <c r="AO11" s="123">
        <f>AN11/AN12*10+BA11</f>
        <v>3</v>
      </c>
      <c r="AP11" s="123">
        <f>AO11*10000000+BI11*100+AM11/AM12*10+AI11/AI12*1++IF(AQ11=0,ROW(),AQ11)/2000000</f>
        <v>30000005.116135307</v>
      </c>
      <c r="AQ11" s="126">
        <f>VLOOKUP(AE11,db_fifarank,2,FALSE)</f>
        <v>1501.38</v>
      </c>
      <c r="AR11" s="125">
        <f>AP11/AP12</f>
        <v>0.33333334932193071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Czech Republic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3</v>
      </c>
      <c r="G12" s="20">
        <v>2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5 - 12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Australia_win</v>
      </c>
      <c r="T12" s="127" t="str">
        <f t="shared" si="2"/>
        <v>Turkey_lose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1</v>
      </c>
      <c r="AF12" s="123">
        <f t="shared" ref="AF12:AH12" si="12">MAX(AF8:AF11)-MIN(AF8:AF11)+1</f>
        <v>4</v>
      </c>
      <c r="AG12" s="123">
        <f t="shared" si="12"/>
        <v>1</v>
      </c>
      <c r="AH12" s="123">
        <f t="shared" si="12"/>
        <v>4</v>
      </c>
      <c r="AI12" s="123">
        <f>MAX(AI8:AI11)+1</f>
        <v>10</v>
      </c>
      <c r="AL12" s="123">
        <f>MIN(AL8:AL11)</f>
        <v>-7</v>
      </c>
      <c r="AM12" s="123">
        <f>MAX(AM8:AM11)+1</f>
        <v>13</v>
      </c>
      <c r="AN12" s="123">
        <f>MAX(AN8:AN11)+1</f>
        <v>10</v>
      </c>
      <c r="AO12" s="123">
        <f>MAX(AO8:AO11)+1</f>
        <v>10</v>
      </c>
      <c r="AP12" s="123">
        <f>MAX(AP8:AP11)+1</f>
        <v>90000011.031484097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Ecuador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Norway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4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Qatar_win</v>
      </c>
      <c r="T14" s="127" t="str">
        <f t="shared" si="2"/>
        <v>Switzerland_lose</v>
      </c>
      <c r="U14" s="123">
        <f t="shared" si="8"/>
        <v>1</v>
      </c>
      <c r="V14" s="123">
        <f t="shared" si="3"/>
        <v>4</v>
      </c>
      <c r="W14" s="123">
        <f t="shared" si="4"/>
        <v>2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8</v>
      </c>
      <c r="AJ14" s="123">
        <f>SUMIF($E$7:$E$78,$AE14,$G$7:$G$78) + SUMIF($H$7:$H$78,$AE14,$F$7:$F$78)</f>
        <v>7</v>
      </c>
      <c r="AL14" s="123">
        <f>AI14-AJ14</f>
        <v>1</v>
      </c>
      <c r="AM14" s="123">
        <f>AL14-AL18</f>
        <v>7</v>
      </c>
      <c r="AN14" s="123">
        <f>AF14*3+AG14</f>
        <v>6</v>
      </c>
      <c r="AO14" s="123">
        <f>AN14/AN18*10+BA14</f>
        <v>9.556071328241007</v>
      </c>
      <c r="AP14" s="123">
        <f>AO14*10000000+BI14*100+AM14/AM18*10+AI14/AI18*1++IF(AQ14=0,ROW(),AQ14)/2000000</f>
        <v>95560721.08318831</v>
      </c>
      <c r="AQ14" s="126">
        <f>VLOOKUP(AE14,db_fifarank,2,FALSE)</f>
        <v>1556.48</v>
      </c>
      <c r="AR14" s="125">
        <f>AP14/AP18</f>
        <v>0.9986006449200493</v>
      </c>
      <c r="AS14" s="125" t="str">
        <f>IF(SUM(AF14:AH17)=12,J15,"1B")</f>
        <v>Qatar</v>
      </c>
      <c r="AT14" s="126" cm="1">
        <f t="array" ref="AT14">SUMPRODUCT(($S$7:$S$78=AE14&amp;"_win")*($U$7:$U$78))+SUMPRODUCT(($T$7:$T$78=AE14&amp;"_win")*($U$7:$U$78))</f>
        <v>1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5</v>
      </c>
      <c r="AW14" s="126" cm="1">
        <f t="array" ref="AW14">SUMPRODUCT(($E$7:$E$78=AE14)*($U$7:$U$78)*($G$7:$G$78))+SUMPRODUCT(($H$7:$H$78=AE14)*($U$7:$U$78)*($F$7:$F$78))</f>
        <v>6</v>
      </c>
      <c r="AX14" s="126">
        <f>AV14-AW14</f>
        <v>-1</v>
      </c>
      <c r="AY14" s="126">
        <f>AX14-MIN(AX14:AX17)</f>
        <v>0</v>
      </c>
      <c r="AZ14" s="126">
        <f>AT14/AT18*1000+AU14/AU18*100+AY14/AY18*10+AV14/AV18</f>
        <v>500.71428571428572</v>
      </c>
      <c r="BA14" s="126">
        <f>AZ14/AZ18</f>
        <v>0.98464275681243563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Norway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3</v>
      </c>
      <c r="H15" s="80" t="str">
        <f>AE35</f>
        <v>Ecuador</v>
      </c>
      <c r="J15" s="30" t="str">
        <f>VLOOKUP(1,AD14:AN17,2,FALSE)</f>
        <v>Qatar</v>
      </c>
      <c r="K15" s="31">
        <f>L15+M15+N15</f>
        <v>3</v>
      </c>
      <c r="L15" s="31">
        <f>VLOOKUP(1,AD14:AN17,3,FALSE)</f>
        <v>2</v>
      </c>
      <c r="M15" s="31">
        <f>VLOOKUP(1,AD14:AN17,4,FALSE)</f>
        <v>0</v>
      </c>
      <c r="N15" s="31">
        <f>VLOOKUP(1,AD14:AN17,5,FALSE)</f>
        <v>1</v>
      </c>
      <c r="O15" s="31" t="str">
        <f>VLOOKUP(1,AD14:AN17,6,FALSE) &amp; " - " &amp; VLOOKUP(1,AD14:AN17,7,FALSE)</f>
        <v>9 - 6</v>
      </c>
      <c r="P15" s="32">
        <f>L15*3+M15</f>
        <v>6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9</v>
      </c>
      <c r="AL15" s="123">
        <f>AI15-AJ15</f>
        <v>-6</v>
      </c>
      <c r="AM15" s="123">
        <f>AL15-AL18</f>
        <v>0</v>
      </c>
      <c r="AN15" s="123">
        <f>AF15*3+AG15</f>
        <v>0</v>
      </c>
      <c r="AO15" s="123">
        <f>AN15/AN18*10+BA15</f>
        <v>6.5549208727408931E-3</v>
      </c>
      <c r="AP15" s="123">
        <f>AO15*10000000+BI15*100+AM15/AM18*10+AI15/AI18*1++IF(AQ15=0,ROW(),AQ15)/2000000</f>
        <v>65549.509420328934</v>
      </c>
      <c r="AQ15" s="126">
        <f>VLOOKUP(AE15,db_fifarank,2,FALSE)</f>
        <v>1385.84</v>
      </c>
      <c r="AR15" s="125">
        <f>AP15/AP18</f>
        <v>6.8498627510722189E-4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1</v>
      </c>
      <c r="AZ15" s="126">
        <f>AT15/AT18*1000+AU15/AU18*100+AY15/AY18*10+AV15/AV18</f>
        <v>3.333333333333333</v>
      </c>
      <c r="BA15" s="126">
        <f>AZ15/AZ18</f>
        <v>6.5549208727408931E-3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Egypt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3</v>
      </c>
      <c r="G16" s="20">
        <v>1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9 - 7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1</v>
      </c>
      <c r="AE16" s="124" t="str">
        <f>VLOOKUP("Qatar",T,lang,FALSE)</f>
        <v>Qatar</v>
      </c>
      <c r="AF16" s="123">
        <f>COUNTIF($S$7:$T$78,"=" &amp; AE16 &amp; "_win")</f>
        <v>2</v>
      </c>
      <c r="AG16" s="123">
        <f>COUNTIF($S$7:$T$78,"=" &amp; AE16 &amp; "_draw")</f>
        <v>0</v>
      </c>
      <c r="AH16" s="123">
        <f>COUNTIF($S$7:$T$78,"=" &amp; AE16 &amp; "_lose")</f>
        <v>1</v>
      </c>
      <c r="AI16" s="123">
        <f>SUMIF($E$7:$E$78,$AE16,$F$7:$F$78) + SUMIF($H$7:$H$78,$AE16,$G$7:$G$78)</f>
        <v>9</v>
      </c>
      <c r="AJ16" s="123">
        <f>SUMIF($E$7:$E$78,$AE16,$G$7:$G$78) + SUMIF($H$7:$H$78,$AE16,$F$7:$F$78)</f>
        <v>6</v>
      </c>
      <c r="AL16" s="123">
        <f>AI16-AJ16</f>
        <v>3</v>
      </c>
      <c r="AM16" s="123">
        <f>AL16-AL18</f>
        <v>9</v>
      </c>
      <c r="AN16" s="123">
        <f>AF16*3+AG16</f>
        <v>6</v>
      </c>
      <c r="AO16" s="123">
        <f>AN16/AN18*10+BA16</f>
        <v>9.5694620951667488</v>
      </c>
      <c r="AP16" s="123">
        <f>AO16*10000000+BI16*100+AM16/AM18*10+AI16/AI18*1++IF(AQ16=0,ROW(),AQ16)/2000000</f>
        <v>95694630.852394968</v>
      </c>
      <c r="AQ16" s="126">
        <f>VLOOKUP(AE16,db_fifarank,2,FALSE)</f>
        <v>1454.96</v>
      </c>
      <c r="AR16" s="125">
        <f>AP16/AP18</f>
        <v>0.99999998955009306</v>
      </c>
      <c r="AT16" s="126" cm="1">
        <f t="array" ref="AT16">SUMPRODUCT(($S$7:$S$78=AE16&amp;"_win")*($U$7:$U$78))+SUMPRODUCT(($T$7:$T$78=AE16&amp;"_win")*($U$7:$U$78))</f>
        <v>1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6</v>
      </c>
      <c r="AW16" s="126" cm="1">
        <f t="array" ref="AW16">SUMPRODUCT(($E$7:$E$78=AE16)*($U$7:$U$78)*($G$7:$G$78))+SUMPRODUCT(($H$7:$H$78=AE16)*($U$7:$U$78)*($F$7:$F$78))</f>
        <v>5</v>
      </c>
      <c r="AX16" s="126">
        <f>AV16-AW16</f>
        <v>1</v>
      </c>
      <c r="AY16" s="126">
        <f>AX16-MIN(AX14:AX17)</f>
        <v>2</v>
      </c>
      <c r="AZ16" s="126">
        <f>AT16/AT18*1000+AU16/AU18*100+AY16/AY18*10+AV16/AV18</f>
        <v>507.52380952380952</v>
      </c>
      <c r="BA16" s="126">
        <f>AZ16/AZ18</f>
        <v>0.99803352373817777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Norway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0</v>
      </c>
      <c r="G17" s="20">
        <v>2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2</v>
      </c>
      <c r="M17" s="23">
        <f>VLOOKUP(3,AD14:AN17,4,FALSE)</f>
        <v>0</v>
      </c>
      <c r="N17" s="23">
        <f>VLOOKUP(3,AD14:AN17,5,FALSE)</f>
        <v>1</v>
      </c>
      <c r="O17" s="23" t="str">
        <f>VLOOKUP(3,AD14:AN17,6,FALSE) &amp; " - " &amp; VLOOKUP(3,AD14:AN17,7,FALSE)</f>
        <v>8 - 7</v>
      </c>
      <c r="P17" s="34">
        <f>L17*3+M17</f>
        <v>6</v>
      </c>
      <c r="R17" s="123">
        <f>DATE(2026,6,14)+TIME(9,0,0)+gmt_delta</f>
        <v>46187.833333333336</v>
      </c>
      <c r="S17" s="127" t="str">
        <f t="shared" si="1"/>
        <v>Netherlands_lose</v>
      </c>
      <c r="T17" s="127" t="str">
        <f t="shared" si="2"/>
        <v>Japan_win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-1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0</v>
      </c>
      <c r="AH17" s="123">
        <f>COUNTIF($S$7:$T$78,"=" &amp; AE17 &amp; "_lose")</f>
        <v>1</v>
      </c>
      <c r="AI17" s="123">
        <f>SUMIF($E$7:$E$78,$AE17,$F$7:$F$78) + SUMIF($H$7:$H$78,$AE17,$G$7:$G$78)</f>
        <v>9</v>
      </c>
      <c r="AJ17" s="123">
        <f>SUMIF($E$7:$E$78,$AE17,$G$7:$G$78) + SUMIF($H$7:$H$78,$AE17,$F$7:$F$78)</f>
        <v>7</v>
      </c>
      <c r="AL17" s="123">
        <f>AI17-AJ17</f>
        <v>2</v>
      </c>
      <c r="AM17" s="123">
        <f>AL17-AL18</f>
        <v>8</v>
      </c>
      <c r="AN17" s="123">
        <f>AF17*3+AG17</f>
        <v>6</v>
      </c>
      <c r="AO17" s="123">
        <f>AN17/AN18*10+BA17</f>
        <v>9.5629071742940077</v>
      </c>
      <c r="AP17" s="123">
        <f>AO17*10000000+BI17*100+AM17/AM18*10+AI17/AI18*1++IF(AQ17=0,ROW(),AQ17)/2000000</f>
        <v>95629080.643764794</v>
      </c>
      <c r="AQ17" s="126">
        <f>VLOOKUP(AE17,db_fifarank,2,FALSE)</f>
        <v>1649.4</v>
      </c>
      <c r="AR17" s="125">
        <f>AP17/AP18</f>
        <v>0.99931499596830797</v>
      </c>
      <c r="AT17" s="126" cm="1">
        <f t="array" ref="AT17">SUMPRODUCT(($S$7:$S$78=AE17&amp;"_win")*($U$7:$U$78))+SUMPRODUCT(($T$7:$T$78=AE17&amp;"_win")*($U$7:$U$78))</f>
        <v>1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6</v>
      </c>
      <c r="AW17" s="126" cm="1">
        <f t="array" ref="AW17">SUMPRODUCT(($E$7:$E$78=AE17)*($U$7:$U$78)*($G$7:$G$78))+SUMPRODUCT(($H$7:$H$78=AE17)*($U$7:$U$78)*($F$7:$F$78))</f>
        <v>6</v>
      </c>
      <c r="AX17" s="126">
        <f>AV17-AW17</f>
        <v>0</v>
      </c>
      <c r="AY17" s="126">
        <f>AX17-MIN(AX14:AX17)</f>
        <v>1</v>
      </c>
      <c r="AZ17" s="126">
        <f>AT17/AT18*1000+AU17/AU18*100+AY17/AY18*10+AV17/AV18</f>
        <v>504.19047619047615</v>
      </c>
      <c r="BA17" s="126">
        <f>AZ17/AZ18</f>
        <v>0.99147860286543676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3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3 - 9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1</v>
      </c>
      <c r="V18" s="123">
        <f t="shared" si="3"/>
        <v>1</v>
      </c>
      <c r="W18" s="123">
        <f t="shared" si="4"/>
        <v>3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3</v>
      </c>
      <c r="AG18" s="123">
        <f t="shared" si="13"/>
        <v>1</v>
      </c>
      <c r="AH18" s="123">
        <f t="shared" si="13"/>
        <v>3</v>
      </c>
      <c r="AI18" s="123">
        <f>MAX(AI14:AI17)+1</f>
        <v>10</v>
      </c>
      <c r="AL18" s="123">
        <f>MIN(AL14:AL17)</f>
        <v>-6</v>
      </c>
      <c r="AM18" s="123">
        <f>MAX(AM14:AM17)+1</f>
        <v>10</v>
      </c>
      <c r="AN18" s="123">
        <f>MAX(AN14:AN17)+1</f>
        <v>7</v>
      </c>
      <c r="AO18" s="123">
        <f>MAX(AO14:AO17)+1</f>
        <v>10.569462095166749</v>
      </c>
      <c r="AP18" s="123">
        <f>MAX(AP14:AP17)+1</f>
        <v>95694631.852394968</v>
      </c>
      <c r="AT18" s="126">
        <f>MAX(AT14:AT17)-MIN(AT14:AT17)+1</f>
        <v>2</v>
      </c>
      <c r="AU18" s="126">
        <f>MAX(AU14:AU17)-MIN(AU14:AU17)+1</f>
        <v>1</v>
      </c>
      <c r="AV18" s="126">
        <f>MAX(AV14:AV17)-MIN(AV14:AV17)+1</f>
        <v>7</v>
      </c>
      <c r="AW18" s="126">
        <f>MAX(AW14:AW17)-MIN(AW14:AW17)+1</f>
        <v>7</v>
      </c>
      <c r="AY18" s="126">
        <f>MAX(AY14:AY17)-MIN(AY14:AY17)+1</f>
        <v>3</v>
      </c>
      <c r="AZ18" s="126">
        <f>MAX(AZ14:AZ17)+1</f>
        <v>508.52380952380952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Mexico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1</v>
      </c>
      <c r="G19" s="20">
        <v>4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2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4</v>
      </c>
      <c r="AL20" s="123">
        <f>AI20-AJ20</f>
        <v>4</v>
      </c>
      <c r="AM20" s="123">
        <f>AL20-AL24</f>
        <v>9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97305933.190740362</v>
      </c>
      <c r="AQ20" s="126">
        <f>VLOOKUP(AE20,db_fifarank,2,FALSE)</f>
        <v>1761.16</v>
      </c>
      <c r="AR20" s="125">
        <f>AP20/AP24</f>
        <v>0.99999998972313453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Switzerland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3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8 - 4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3</v>
      </c>
      <c r="AL21" s="123">
        <f>AI21-AJ21</f>
        <v>4</v>
      </c>
      <c r="AM21" s="123">
        <f>AL21-AL24</f>
        <v>9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97305933.07962659</v>
      </c>
      <c r="AQ21" s="126">
        <f>VLOOKUP(AE21,db_fifarank,2,FALSE)</f>
        <v>1755.87</v>
      </c>
      <c r="AR21" s="125">
        <f>AP21/AP24</f>
        <v>0.99999998858123318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3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7 - 3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4</v>
      </c>
      <c r="AJ22" s="123">
        <f>SUMIF($E$7:$E$78,$AE22,$G$7:$G$78) + SUMIF($H$7:$H$78,$AE22,$F$7:$F$78)</f>
        <v>9</v>
      </c>
      <c r="AL22" s="123">
        <f>AI22-AJ22</f>
        <v>-5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0.44509029944444439</v>
      </c>
      <c r="AQ22" s="126">
        <f>VLOOKUP(AE22,db_fifarank,2,FALSE)</f>
        <v>1291.71</v>
      </c>
      <c r="AR22" s="125">
        <f>AP22/AP24</f>
        <v>4.5741331517559104E-9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Japan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0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5 - 8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France_lose</v>
      </c>
      <c r="T23" s="127" t="str">
        <f t="shared" si="2"/>
        <v>Senegal_win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-1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8</v>
      </c>
      <c r="AL23" s="123">
        <f>AI23-AJ23</f>
        <v>-3</v>
      </c>
      <c r="AM23" s="123">
        <f>AL23-AL24</f>
        <v>2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37500002.55630473</v>
      </c>
      <c r="AQ23" s="126">
        <f>VLOOKUP(AE23,db_fifarank,2,FALSE)</f>
        <v>1498.35</v>
      </c>
      <c r="AR23" s="125">
        <f>AP23/AP24</f>
        <v>0.38538248327996866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Norway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3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4 - 9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Iraq_win</v>
      </c>
      <c r="T24" s="127" t="str">
        <f t="shared" si="2"/>
        <v>Norway_lose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9</v>
      </c>
      <c r="AL24" s="123">
        <f>MIN(AL20:AL23)</f>
        <v>-5</v>
      </c>
      <c r="AM24" s="123">
        <f>MAX(AM20:AM23)+1</f>
        <v>10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97305934.190740362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Cape Verde</v>
      </c>
      <c r="CH24" s="62">
        <v>0</v>
      </c>
      <c r="CI24" s="64"/>
      <c r="CJ24" s="27"/>
      <c r="CK24" s="113">
        <f>IF(CK23="","",CH24*1000+CI24*10+CJ24)</f>
        <v>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0</v>
      </c>
      <c r="G25" s="20">
        <v>2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Argentina_lose</v>
      </c>
      <c r="T25" s="127" t="str">
        <f t="shared" si="2"/>
        <v>Algeria_win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-1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1</v>
      </c>
      <c r="G26" s="20">
        <v>3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Austria_lose</v>
      </c>
      <c r="T26" s="127" t="str">
        <f t="shared" si="2"/>
        <v>Jordan_win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-1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8</v>
      </c>
      <c r="AJ26" s="123">
        <f>SUMIF($E$7:$E$78,$AE26,$G$7:$G$78) + SUMIF($H$7:$H$78,$AE26,$F$7:$F$78)</f>
        <v>6</v>
      </c>
      <c r="AL26" s="123">
        <f>AI26-AJ26</f>
        <v>2</v>
      </c>
      <c r="AM26" s="123">
        <f>AL26-AL30</f>
        <v>8</v>
      </c>
      <c r="AN26" s="123">
        <f>AF26*3+AG26</f>
        <v>6</v>
      </c>
      <c r="AO26" s="123">
        <f>AN26/AN30*10+BA26</f>
        <v>6</v>
      </c>
      <c r="AP26" s="123">
        <f>AO26*10000000+BI26*100+AM26/AM30*10+AI26/AI30*1++IF(AQ26=0,ROW(),AQ26)/2000000</f>
        <v>60000006.881955445</v>
      </c>
      <c r="AQ26" s="126">
        <f>VLOOKUP(AE26,db_fifarank,2,FALSE)</f>
        <v>1673.13</v>
      </c>
      <c r="AR26" s="125">
        <f>AP26/AP30</f>
        <v>0.66666666060950219</v>
      </c>
      <c r="AS26" s="125" t="str">
        <f>IF(SUM(AF26:AH29)=12,J27,"1D")</f>
        <v>Australia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DR Congo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4</v>
      </c>
      <c r="H27" s="80" t="str">
        <f>AE77</f>
        <v>Panama</v>
      </c>
      <c r="J27" s="30" t="str">
        <f>VLOOKUP(1,AD26:AN29,2,FALSE)</f>
        <v>Australia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10 - 4</v>
      </c>
      <c r="P27" s="32">
        <f>L27*3+M27</f>
        <v>9</v>
      </c>
      <c r="R27" s="123">
        <f>DATE(2026,6,17)+TIME(12,0,0)+gmt_delta</f>
        <v>46190.958333333336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7</v>
      </c>
      <c r="AJ27" s="123">
        <f>SUMIF($E$7:$E$78,$AE27,$G$7:$G$78) + SUMIF($H$7:$H$78,$AE27,$F$7:$F$78)</f>
        <v>9</v>
      </c>
      <c r="AL27" s="123">
        <f>AI27-AJ27</f>
        <v>-2</v>
      </c>
      <c r="AM27" s="123">
        <f>AL27-AL30</f>
        <v>4</v>
      </c>
      <c r="AN27" s="123">
        <f>AF27*3+AG27</f>
        <v>3</v>
      </c>
      <c r="AO27" s="123">
        <f>AN27/AN30*10+BA27</f>
        <v>3</v>
      </c>
      <c r="AP27" s="123">
        <f>AO27*10000000+BI27*100+AM27/AM30*10+AI27/AI30*1++IF(AQ27=0,ROW(),AQ27)/2000000</f>
        <v>30000003.714038461</v>
      </c>
      <c r="AQ27" s="126">
        <f>VLOOKUP(AE27,db_fifarank,2,FALSE)</f>
        <v>1503.5</v>
      </c>
      <c r="AR27" s="125">
        <f>AP27/AP30</f>
        <v>0.33333333333875897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Panama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8 - 6</v>
      </c>
      <c r="P28" s="34">
        <f>L28*3+M28</f>
        <v>6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1</v>
      </c>
      <c r="AE28" s="124" t="str">
        <f>VLOOKUP("Australia",T,lang,FALSE)</f>
        <v>Australia</v>
      </c>
      <c r="AF28" s="123">
        <f>COUNTIF($S$7:$T$78,"=" &amp; AE28 &amp; "_win")</f>
        <v>3</v>
      </c>
      <c r="AG28" s="123">
        <f>COUNTIF($S$7:$T$78,"=" &amp; AE28 &amp; "_draw")</f>
        <v>0</v>
      </c>
      <c r="AH28" s="123">
        <f>COUNTIF($S$7:$T$78,"=" &amp; AE28 &amp; "_lose")</f>
        <v>0</v>
      </c>
      <c r="AI28" s="123">
        <f>SUMIF($E$7:$E$78,$AE28,$F$7:$F$78) + SUMIF($H$7:$H$78,$AE28,$G$7:$G$78)</f>
        <v>10</v>
      </c>
      <c r="AJ28" s="123">
        <f>SUMIF($E$7:$E$78,$AE28,$G$7:$G$78) + SUMIF($H$7:$H$78,$AE28,$F$7:$F$78)</f>
        <v>4</v>
      </c>
      <c r="AL28" s="123">
        <f>AI28-AJ28</f>
        <v>6</v>
      </c>
      <c r="AM28" s="123">
        <f>AL28-AL30</f>
        <v>12</v>
      </c>
      <c r="AN28" s="123">
        <f>AF28*3+AG28</f>
        <v>9</v>
      </c>
      <c r="AO28" s="123">
        <f>AN28/AN30*10+BA28</f>
        <v>9</v>
      </c>
      <c r="AP28" s="123">
        <f>AO28*10000000+BI28*100+AM28/AM30*10+AI28/AI30*1++IF(AQ28=0,ROW(),AQ28)/2000000</f>
        <v>90000010.140650466</v>
      </c>
      <c r="AQ28" s="126">
        <f>VLOOKUP(AE28,db_fifarank,2,FALSE)</f>
        <v>1580.67</v>
      </c>
      <c r="AR28" s="125">
        <f>AP28/AP30</f>
        <v>0.9999999888888903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Panama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1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7 - 9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4</v>
      </c>
      <c r="AE29" s="124" t="str">
        <f>VLOOKUP("Turkey",T,lang,FALSE)</f>
        <v>Turkey</v>
      </c>
      <c r="AF29" s="123">
        <f>COUNTIF($S$7:$T$78,"=" &amp; AE29 &amp; "_win")</f>
        <v>0</v>
      </c>
      <c r="AG29" s="123">
        <f>COUNTIF($S$7:$T$78,"=" &amp; AE29 &amp; "_draw")</f>
        <v>0</v>
      </c>
      <c r="AH29" s="123">
        <f>COUNTIF($S$7:$T$78,"=" &amp; AE29 &amp; "_lose")</f>
        <v>3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10</v>
      </c>
      <c r="AL29" s="123">
        <f>AI29-AJ29</f>
        <v>-6</v>
      </c>
      <c r="AM29" s="123">
        <f>AL29-AL30</f>
        <v>0</v>
      </c>
      <c r="AN29" s="123">
        <f>AF29*3+AG29</f>
        <v>0</v>
      </c>
      <c r="AO29" s="123">
        <f>AN29/AN30*10+BA29</f>
        <v>0</v>
      </c>
      <c r="AP29" s="123">
        <f>AO29*10000000+BI29*100+AM29/AM30*10+AI29/AI30*1++IF(AQ29=0,ROW(),AQ29)/2000000</f>
        <v>0.36443588363636364</v>
      </c>
      <c r="AQ29" s="126">
        <f>VLOOKUP(AE29,db_fifarank,2,FALSE)</f>
        <v>1599.04</v>
      </c>
      <c r="AR29" s="125">
        <f>AP29/AP30</f>
        <v>4.0492870947185718E-9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Cape Verde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3</v>
      </c>
      <c r="G30" s="20">
        <v>2</v>
      </c>
      <c r="H30" s="80" t="str">
        <f>AE71</f>
        <v>Colombia</v>
      </c>
      <c r="J30" s="35" t="str">
        <f>VLOOKUP(4,AD26:AN29,2,FALSE)</f>
        <v>Turkey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4 - 10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Uzbekistan_win</v>
      </c>
      <c r="T30" s="127" t="str">
        <f t="shared" si="2"/>
        <v>Colombia_lose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11</v>
      </c>
      <c r="AL30" s="123">
        <f>MIN(AL26:AL29)</f>
        <v>-6</v>
      </c>
      <c r="AM30" s="123">
        <f>MAX(AM26:AM29)+1</f>
        <v>13</v>
      </c>
      <c r="AN30" s="123">
        <f>MAX(AN26:AN29)+1</f>
        <v>10</v>
      </c>
      <c r="AO30" s="123">
        <f>MAX(AO26:AO29)+1</f>
        <v>10</v>
      </c>
      <c r="AP30" s="123">
        <f>MAX(AP26:AP29)+1</f>
        <v>90000011.140650466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Cape Verde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0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Republic_lose</v>
      </c>
      <c r="T31" s="127" t="str">
        <f t="shared" si="2"/>
        <v>South Africa_win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-1</v>
      </c>
      <c r="BK31" s="132"/>
      <c r="BL31" s="26" t="str">
        <f>AS63</f>
        <v>Jordan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3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2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0</v>
      </c>
      <c r="AH32" s="123">
        <f>COUNTIF($S$7:$T$78,"=" &amp; AE32 &amp; "_lose")</f>
        <v>1</v>
      </c>
      <c r="AI32" s="123">
        <f>SUMIF($E$7:$E$78,$AE32,$F$7:$F$78) + SUMIF($H$7:$H$78,$AE32,$G$7:$G$78)</f>
        <v>6</v>
      </c>
      <c r="AJ32" s="123">
        <f>SUMIF($E$7:$E$78,$AE32,$G$7:$G$78) + SUMIF($H$7:$H$78,$AE32,$F$7:$F$78)</f>
        <v>5</v>
      </c>
      <c r="AL32" s="123">
        <f>AI32-AJ32</f>
        <v>1</v>
      </c>
      <c r="AM32" s="123">
        <f>AL32-AL36</f>
        <v>4</v>
      </c>
      <c r="AN32" s="123">
        <f>AF32*3+AG32</f>
        <v>6</v>
      </c>
      <c r="AO32" s="123">
        <f>AN32/AN36*10+BA32</f>
        <v>8.572082166199813</v>
      </c>
      <c r="AP32" s="123">
        <f>AO32*10000000+BI32*100+AM32/AM36*10+AI32/AI36*1++IF(AQ32=0,ROW(),AQ32)/2000000</f>
        <v>85720828.234291881</v>
      </c>
      <c r="AQ32" s="126">
        <f>VLOOKUP(AE32,db_fifarank,2,FALSE)</f>
        <v>1730.37</v>
      </c>
      <c r="AR32" s="125">
        <f>AP32/AP36</f>
        <v>0.89577415169686625</v>
      </c>
      <c r="AS32" s="125" t="str">
        <f>IF(SUM(AF32:AH35)=12,J33,"1E")</f>
        <v>Ecuador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1</v>
      </c>
      <c r="AW32" s="126" cm="1">
        <f t="array" ref="AW32">SUMPRODUCT(($E$7:$E$78=AE32)*($U$7:$U$78)*($G$7:$G$78))+SUMPRODUCT(($H$7:$H$78=AE32)*($U$7:$U$78)*($F$7:$F$78))</f>
        <v>3</v>
      </c>
      <c r="AX32" s="126">
        <f>AV32-AW32</f>
        <v>-2</v>
      </c>
      <c r="AY32" s="126">
        <f>AX32-MIN(AX32:AX35)</f>
        <v>0</v>
      </c>
      <c r="AZ32" s="126">
        <f>AT32/AT36*1000+AU32/AU36*100+AY32/AY36*10+AV32/AV36</f>
        <v>0.33333333333333331</v>
      </c>
      <c r="BA32" s="126">
        <f>AZ32/AZ36</f>
        <v>6.5359477124183002E-4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Cape Verde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3</v>
      </c>
      <c r="G33" s="20">
        <v>2</v>
      </c>
      <c r="H33" s="80" t="str">
        <f>AE16</f>
        <v>Qatar</v>
      </c>
      <c r="J33" s="30" t="str">
        <f>VLOOKUP(1,AD32:AN35,2,FALSE)</f>
        <v>Ecuador</v>
      </c>
      <c r="K33" s="31">
        <f>L33+M33+N33</f>
        <v>3</v>
      </c>
      <c r="L33" s="31">
        <f>VLOOKUP(1,AD32:AN35,3,FALSE)</f>
        <v>2</v>
      </c>
      <c r="M33" s="31">
        <f>VLOOKUP(1,AD32:AN35,4,FALSE)</f>
        <v>0</v>
      </c>
      <c r="N33" s="31">
        <f>VLOOKUP(1,AD32:AN35,5,FALSE)</f>
        <v>1</v>
      </c>
      <c r="O33" s="31" t="str">
        <f>VLOOKUP(1,AD32:AN35,6,FALSE) &amp; " - " &amp; VLOOKUP(1,AD32:AN35,7,FALSE)</f>
        <v>6 - 3</v>
      </c>
      <c r="P33" s="32">
        <f>L33*3+M33</f>
        <v>6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1</v>
      </c>
      <c r="V33" s="123">
        <f t="shared" si="3"/>
        <v>3</v>
      </c>
      <c r="W33" s="123">
        <f t="shared" si="4"/>
        <v>2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1</v>
      </c>
      <c r="AG33" s="123">
        <f>COUNTIF($S$7:$T$78,"=" &amp; AE33 &amp; "_draw")</f>
        <v>0</v>
      </c>
      <c r="AH33" s="123">
        <f>COUNTIF($S$7:$T$78,"=" &amp; AE33 &amp; "_lose")</f>
        <v>2</v>
      </c>
      <c r="AI33" s="123">
        <f>SUMIF($E$7:$E$78,$AE33,$F$7:$F$78) + SUMIF($H$7:$H$78,$AE33,$G$7:$G$78)</f>
        <v>3</v>
      </c>
      <c r="AJ33" s="123">
        <f>SUMIF($E$7:$E$78,$AE33,$G$7:$G$78) + SUMIF($H$7:$H$78,$AE33,$F$7:$F$78)</f>
        <v>6</v>
      </c>
      <c r="AL33" s="123">
        <f>AI33-AJ33</f>
        <v>-3</v>
      </c>
      <c r="AM33" s="123">
        <f>AL33-AL36</f>
        <v>0</v>
      </c>
      <c r="AN33" s="123">
        <f>AF33*3+AG33</f>
        <v>3</v>
      </c>
      <c r="AO33" s="123">
        <f>AN33/AN36*10+BA33</f>
        <v>4.2863678804855274</v>
      </c>
      <c r="AP33" s="123">
        <f>AO33*10000000+BI33*100+AM33/AM36*10+AI33/AI36*1++IF(AQ33=0,ROW(),AQ33)/2000000</f>
        <v>42863679.234074019</v>
      </c>
      <c r="AQ33" s="126">
        <f>VLOOKUP(AE33,db_fifarank,2,FALSE)</f>
        <v>1294.6500000000001</v>
      </c>
      <c r="AR33" s="125">
        <f>AP33/AP36</f>
        <v>0.44792119599643782</v>
      </c>
      <c r="AS33" s="125" t="str">
        <f>IF(SUM(AF32:AH35)=12,J34,"2E")</f>
        <v>Germany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1</v>
      </c>
      <c r="AW33" s="126" cm="1">
        <f t="array" ref="AW33">SUMPRODUCT(($E$7:$E$78=AE33)*($U$7:$U$78)*($G$7:$G$78))+SUMPRODUCT(($H$7:$H$78=AE33)*($U$7:$U$78)*($F$7:$F$78))</f>
        <v>3</v>
      </c>
      <c r="AX33" s="126">
        <f>AV33-AW33</f>
        <v>-2</v>
      </c>
      <c r="AY33" s="126">
        <f>AX33-MIN(AX32:AX35)</f>
        <v>0</v>
      </c>
      <c r="AZ33" s="126">
        <f>AT33/AT36*1000+AU33/AU36*100+AY33/AY36*10+AV33/AV36</f>
        <v>0.33333333333333331</v>
      </c>
      <c r="BA33" s="126">
        <f>AZ33/AZ36</f>
        <v>6.5359477124183002E-4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Iran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4</v>
      </c>
      <c r="G34" s="20">
        <v>2</v>
      </c>
      <c r="H34" s="80" t="str">
        <f>AE10</f>
        <v>Korea Republic</v>
      </c>
      <c r="J34" s="33" t="str">
        <f>VLOOKUP(2,AD32:AN35,2,FALSE)</f>
        <v>Germany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6 - 5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6</v>
      </c>
      <c r="AL34" s="123">
        <f>AI34-AJ34</f>
        <v>-1</v>
      </c>
      <c r="AM34" s="123">
        <f>AL34-AL36</f>
        <v>2</v>
      </c>
      <c r="AN34" s="123">
        <f>AF34*3+AG34</f>
        <v>3</v>
      </c>
      <c r="AO34" s="123">
        <f>AN34/AN36*10+BA34</f>
        <v>5.2837535014005601</v>
      </c>
      <c r="AP34" s="123">
        <f>AO34*10000000+BI34*100+AM34/AM36*10+AI34/AI36*1++IF(AQ34=0,ROW(),AQ34)/2000000</f>
        <v>52837538.586200669</v>
      </c>
      <c r="AQ34" s="126">
        <f>VLOOKUP(AE34,db_fifarank,2,FALSE)</f>
        <v>1532.98</v>
      </c>
      <c r="AR34" s="125">
        <f>AP34/AP36</f>
        <v>0.5521470368373107</v>
      </c>
      <c r="AT34" s="126" cm="1">
        <f t="array" ref="AT34">SUMPRODUCT(($S$7:$S$78=AE34&amp;"_win")*($U$7:$U$78))+SUMPRODUCT(($T$7:$T$78=AE34&amp;"_win")*($U$7:$U$78))</f>
        <v>1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3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2</v>
      </c>
      <c r="AY34" s="126">
        <f>AX34-MIN(AX32:AX35)</f>
        <v>4</v>
      </c>
      <c r="AZ34" s="126">
        <f>AT34/AT36*1000+AU34/AU36*100+AY34/AY36*10+AV34/AV36</f>
        <v>509</v>
      </c>
      <c r="BA34" s="126">
        <f>AZ34/AZ36</f>
        <v>0.99803921568627452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Australia</v>
      </c>
      <c r="BM34" s="61">
        <v>0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2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5 - 6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1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3</v>
      </c>
      <c r="AL35" s="123">
        <f>AI35-AJ35</f>
        <v>3</v>
      </c>
      <c r="AM35" s="123">
        <f>AL35-AL36</f>
        <v>6</v>
      </c>
      <c r="AN35" s="123">
        <f>AF35*3+AG35</f>
        <v>6</v>
      </c>
      <c r="AO35" s="123">
        <f>AN35/AN36*10+BA35</f>
        <v>9.5694677871148457</v>
      </c>
      <c r="AP35" s="123">
        <f>AO35*10000000+BI35*100+AM35/AM36*10+AI35/AI36*1++IF(AQ35=0,ROW(),AQ35)/2000000</f>
        <v>95694687.300517261</v>
      </c>
      <c r="AQ35" s="126">
        <f>VLOOKUP(AE35,db_fifarank,2,FALSE)</f>
        <v>1594.78</v>
      </c>
      <c r="AR35" s="125">
        <f>AP35/AP36</f>
        <v>0.99999998955009917</v>
      </c>
      <c r="AT35" s="126" cm="1">
        <f t="array" ref="AT35">SUMPRODUCT(($S$7:$S$78=AE35&amp;"_win")*($U$7:$U$78))+SUMPRODUCT(($T$7:$T$78=AE35&amp;"_win")*($U$7:$U$78))</f>
        <v>1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3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2</v>
      </c>
      <c r="AY35" s="126">
        <f>AX35-MIN(AX32:AX35)</f>
        <v>4</v>
      </c>
      <c r="AZ35" s="126">
        <f>AT35/AT36*1000+AU35/AU36*100+AY35/AY36*10+AV35/AV36</f>
        <v>509</v>
      </c>
      <c r="BA35" s="126">
        <f>AZ35/AZ36</f>
        <v>0.99803921568627452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1</v>
      </c>
      <c r="M36" s="36">
        <f>VLOOKUP(4,AD32:AN35,4,FALSE)</f>
        <v>0</v>
      </c>
      <c r="N36" s="36">
        <f>VLOOKUP(4,AD32:AN35,5,FALSE)</f>
        <v>2</v>
      </c>
      <c r="O36" s="36" t="str">
        <f>VLOOKUP(4,AD32:AN35,6,FALSE) &amp; " - " &amp; VLOOKUP(4,AD32:AN35,7,FALSE)</f>
        <v>3 - 6</v>
      </c>
      <c r="P36" s="37">
        <f>L36*3+M36</f>
        <v>3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2</v>
      </c>
      <c r="AG36" s="123">
        <f t="shared" si="16"/>
        <v>1</v>
      </c>
      <c r="AH36" s="123">
        <f t="shared" si="16"/>
        <v>2</v>
      </c>
      <c r="AI36" s="123">
        <f>MAX(AI32:AI35)+1</f>
        <v>7</v>
      </c>
      <c r="AL36" s="123">
        <f>MIN(AL32:AL35)</f>
        <v>-3</v>
      </c>
      <c r="AM36" s="123">
        <f>MAX(AM32:AM35)+1</f>
        <v>7</v>
      </c>
      <c r="AN36" s="123">
        <f>MAX(AN32:AN35)+1</f>
        <v>7</v>
      </c>
      <c r="AO36" s="123">
        <f>MAX(AO32:AO35)+1</f>
        <v>10.569467787114846</v>
      </c>
      <c r="AP36" s="123">
        <f>MAX(AP32:AP35)+1</f>
        <v>95694688.300517261</v>
      </c>
      <c r="AT36" s="126">
        <f>MAX(AT32:AT35)-MIN(AT32:AT35)+1</f>
        <v>2</v>
      </c>
      <c r="AU36" s="126">
        <f>MAX(AU32:AU35)-MIN(AU32:AU35)+1</f>
        <v>1</v>
      </c>
      <c r="AV36" s="126">
        <f>MAX(AV32:AV35)-MIN(AV32:AV35)+1</f>
        <v>3</v>
      </c>
      <c r="AW36" s="126">
        <f>MAX(AW32:AW35)-MIN(AW32:AW35)+1</f>
        <v>3</v>
      </c>
      <c r="AY36" s="126">
        <f>MAX(AY32:AY35)-MIN(AY32:AY35)+1</f>
        <v>5</v>
      </c>
      <c r="AZ36" s="126">
        <f>MAX(AZ32:AZ35)+1</f>
        <v>510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Canada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1</v>
      </c>
      <c r="G37" s="20">
        <v>3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States_lose</v>
      </c>
      <c r="T37" s="127" t="str">
        <f t="shared" si="2"/>
        <v>Australia_win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-1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Iran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Norway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4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Turkey_lose</v>
      </c>
      <c r="T38" s="127" t="str">
        <f t="shared" si="2"/>
        <v>Paraguay_win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-1</v>
      </c>
      <c r="AD38" s="123">
        <f>COUNTIF(AR38:AR41,CONCATENATE("&gt;=",AR38))</f>
        <v>4</v>
      </c>
      <c r="AE38" s="124" t="str">
        <f>VLOOKUP("Netherlands",T,lang,FALSE)</f>
        <v>Netherlands</v>
      </c>
      <c r="AF38" s="123">
        <f>COUNTIF($S$7:$T$78,"=" &amp; AE38 &amp; "_win")</f>
        <v>1</v>
      </c>
      <c r="AG38" s="123">
        <f>COUNTIF($S$7:$T$78,"=" &amp; AE38 &amp; "_draw")</f>
        <v>0</v>
      </c>
      <c r="AH38" s="123">
        <f>COUNTIF($S$7:$T$78,"=" &amp; AE38 &amp; "_lose")</f>
        <v>2</v>
      </c>
      <c r="AI38" s="123">
        <f>SUMIF($E$7:$E$78,$AE38,$F$7:$F$78) + SUMIF($H$7:$H$78,$AE38,$G$7:$G$78)</f>
        <v>3</v>
      </c>
      <c r="AJ38" s="123">
        <f>SUMIF($E$7:$E$78,$AE38,$G$7:$G$78) + SUMIF($H$7:$H$78,$AE38,$F$7:$F$78)</f>
        <v>5</v>
      </c>
      <c r="AL38" s="123">
        <f>AI38-AJ38</f>
        <v>-2</v>
      </c>
      <c r="AM38" s="123">
        <f>AL38-AL42</f>
        <v>1</v>
      </c>
      <c r="AN38" s="123">
        <f>AF38*3+AG38</f>
        <v>3</v>
      </c>
      <c r="AO38" s="123">
        <f>AN38/AN42*10+BA38</f>
        <v>3.9976086090075729</v>
      </c>
      <c r="AP38" s="123">
        <f>AO38*10000000+BI38*100+AM38/AM42*10+AI38/AI42*1++IF(AQ38=0,ROW(),AQ38)/2000000</f>
        <v>39976087.300045572</v>
      </c>
      <c r="AQ38" s="126">
        <f>VLOOKUP(AE38,db_fifarank,2,FALSE)</f>
        <v>1757.87</v>
      </c>
      <c r="AR38" s="125">
        <f>AP38/AP42</f>
        <v>0.44417868965717688</v>
      </c>
      <c r="AS38" s="125" t="str">
        <f>IF(SUM(AF38:AH41)=12,J39,"1F")</f>
        <v>Japan</v>
      </c>
      <c r="AT38" s="126" cm="1">
        <f t="array" ref="AT38">SUMPRODUCT(($S$7:$S$78=AE38&amp;"_win")*($U$7:$U$78))+SUMPRODUCT(($T$7:$T$78=AE38&amp;"_win")*($U$7:$U$78))</f>
        <v>1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3</v>
      </c>
      <c r="AW38" s="126" cm="1">
        <f t="array" ref="AW38">SUMPRODUCT(($E$7:$E$78=AE38)*($U$7:$U$78)*($G$7:$G$78))+SUMPRODUCT(($H$7:$H$78=AE38)*($U$7:$U$78)*($F$7:$F$78))</f>
        <v>3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500.6</v>
      </c>
      <c r="BA38" s="126">
        <f>AZ38/AZ42</f>
        <v>0.99760860900757276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2</v>
      </c>
      <c r="BF38" s="126">
        <f>BD38-BE38</f>
        <v>-2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Iran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Japan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9 - 2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1</v>
      </c>
      <c r="AE39" s="124" t="str">
        <f>VLOOKUP("Japan",T,lang,FALSE)</f>
        <v>Japan</v>
      </c>
      <c r="AF39" s="123">
        <f>COUNTIF($S$7:$T$78,"=" &amp; AE39 &amp; "_win")</f>
        <v>3</v>
      </c>
      <c r="AG39" s="123">
        <f>COUNTIF($S$7:$T$78,"=" &amp; AE39 &amp; "_draw")</f>
        <v>0</v>
      </c>
      <c r="AH39" s="123">
        <f>COUNTIF($S$7:$T$78,"=" &amp; AE39 &amp; "_lose")</f>
        <v>0</v>
      </c>
      <c r="AI39" s="123">
        <f>SUMIF($E$7:$E$78,$AE39,$F$7:$F$78) + SUMIF($H$7:$H$78,$AE39,$G$7:$G$78)</f>
        <v>9</v>
      </c>
      <c r="AJ39" s="123">
        <f>SUMIF($E$7:$E$78,$AE39,$G$7:$G$78) + SUMIF($H$7:$H$78,$AE39,$F$7:$F$78)</f>
        <v>2</v>
      </c>
      <c r="AL39" s="123">
        <f>AI39-AJ39</f>
        <v>7</v>
      </c>
      <c r="AM39" s="123">
        <f>AL39-AL42</f>
        <v>10</v>
      </c>
      <c r="AN39" s="123">
        <f>AF39*3+AG39</f>
        <v>9</v>
      </c>
      <c r="AO39" s="123">
        <f>AN39/AN42*10+BA39</f>
        <v>9</v>
      </c>
      <c r="AP39" s="123">
        <f>AO39*10000000+BI39*100+AM39/AM42*10+AI39/AI42*1++IF(AQ39=0,ROW(),AQ39)/2000000</f>
        <v>90000010.776565999</v>
      </c>
      <c r="AQ39" s="126">
        <f>VLOOKUP(AE39,db_fifarank,2,FALSE)</f>
        <v>1660.43</v>
      </c>
      <c r="AR39" s="125">
        <f>AP39/AP42</f>
        <v>0.9999999888888903</v>
      </c>
      <c r="AS39" s="125" t="str">
        <f>IF(SUM(AF38:AH41)=12,J40,"2F")</f>
        <v>Tunisia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2</v>
      </c>
      <c r="BH39" s="126">
        <f>BB39/BB42*1000+BC39/BC42*100+BG39/BG42*10+BD39/BD42</f>
        <v>4</v>
      </c>
      <c r="BI39" s="126">
        <f>BH39/BH42</f>
        <v>7.8482668410725966E-3</v>
      </c>
      <c r="BK39" s="132"/>
      <c r="BL39" s="26" t="str">
        <f>IF(group_round_completed,VLOOKUP('3rd places'!H3,AK80:AS91,9,FALSE),"3rd Group A/E/H/I/J")</f>
        <v>France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0</v>
      </c>
      <c r="G40" s="20">
        <v>1</v>
      </c>
      <c r="H40" s="80" t="str">
        <f>AE33</f>
        <v>Curaçao</v>
      </c>
      <c r="J40" s="33" t="str">
        <f>VLOOKUP(2,AD38:AN41,2,FALSE)</f>
        <v>Tunisia</v>
      </c>
      <c r="K40" s="23">
        <f>L40+M40+N40</f>
        <v>3</v>
      </c>
      <c r="L40" s="23">
        <f>VLOOKUP(2,AD38:AN41,3,FALSE)</f>
        <v>1</v>
      </c>
      <c r="M40" s="23">
        <f>VLOOKUP(2,AD38:AN41,4,FALSE)</f>
        <v>0</v>
      </c>
      <c r="N40" s="23">
        <f>VLOOKUP(2,AD38:AN41,5,FALSE)</f>
        <v>2</v>
      </c>
      <c r="O40" s="23" t="str">
        <f>VLOOKUP(2,AD38:AN41,6,FALSE) &amp; " - " &amp; VLOOKUP(2,AD38:AN41,7,FALSE)</f>
        <v>4 - 7</v>
      </c>
      <c r="P40" s="34">
        <f>L40*3+M40</f>
        <v>3</v>
      </c>
      <c r="R40" s="123">
        <f>DATE(2026,6,20)+TIME(13,0,0)+gmt_delta</f>
        <v>46194</v>
      </c>
      <c r="S40" s="127" t="str">
        <f t="shared" si="1"/>
        <v>Ecuador_lose</v>
      </c>
      <c r="T40" s="127" t="str">
        <f t="shared" si="2"/>
        <v>Curaçao_win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-1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5</v>
      </c>
      <c r="AJ40" s="123">
        <f>SUMIF($E$7:$E$78,$AE40,$G$7:$G$78) + SUMIF($H$7:$H$78,$AE40,$F$7:$F$78)</f>
        <v>7</v>
      </c>
      <c r="AL40" s="123">
        <f>AI40-AJ40</f>
        <v>-2</v>
      </c>
      <c r="AM40" s="123">
        <f>AL40-AL42</f>
        <v>1</v>
      </c>
      <c r="AN40" s="123">
        <f>AF40*3+AG40</f>
        <v>3</v>
      </c>
      <c r="AO40" s="123">
        <f>AN40/AN42*10+BA40</f>
        <v>3.9976086090075729</v>
      </c>
      <c r="AP40" s="123">
        <f>AO40*10000000+BI40*100+AM40/AM42*10+AI40/AI42*1++IF(AQ40=0,ROW(),AQ40)/2000000</f>
        <v>39976187.303717345</v>
      </c>
      <c r="AQ40" s="126">
        <f>VLOOKUP(AE40,db_fifarank,2,FALSE)</f>
        <v>1514.77</v>
      </c>
      <c r="AR40" s="125">
        <f>AP40/AP42</f>
        <v>0.44417980080894004</v>
      </c>
      <c r="AT40" s="126" cm="1">
        <f t="array" ref="AT40">SUMPRODUCT(($S$7:$S$78=AE40&amp;"_win")*($U$7:$U$78))+SUMPRODUCT(($T$7:$T$78=AE40&amp;"_win")*($U$7:$U$78))</f>
        <v>1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3</v>
      </c>
      <c r="AW40" s="126" cm="1">
        <f t="array" ref="AW40">SUMPRODUCT(($E$7:$E$78=AE40)*($U$7:$U$78)*($G$7:$G$78))+SUMPRODUCT(($H$7:$H$78=AE40)*($U$7:$U$78)*($F$7:$F$78))</f>
        <v>3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500.6</v>
      </c>
      <c r="BA40" s="126">
        <f>AZ40/AZ42</f>
        <v>0.99760860900757276</v>
      </c>
      <c r="BB40" s="126" cm="1">
        <f t="array" ref="BB40">SUMPRODUCT(($S$7:$S$78=AE40&amp;"_win")*($X$7:$X$78))+SUMPRODUCT(($T$7:$T$78=AE40&amp;"_win")*($X$7:$X$78))</f>
        <v>1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2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2</v>
      </c>
      <c r="BG40" s="126">
        <f>BF40-MIN(BF38:BF41)</f>
        <v>4</v>
      </c>
      <c r="BH40" s="126">
        <f>BB40/BB42*1000+BC40/BC42*100+BG40/BG42*10+BD40/BD42</f>
        <v>508.66666666666669</v>
      </c>
      <c r="BI40" s="126">
        <f>BH40/BH42</f>
        <v>0.99803793328973189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0</v>
      </c>
      <c r="G41" s="20">
        <v>2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5 - 7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Netherlands_lose</v>
      </c>
      <c r="T41" s="127" t="str">
        <f t="shared" si="2"/>
        <v>Sweden_win</v>
      </c>
      <c r="U41" s="123">
        <f t="shared" si="8"/>
        <v>1</v>
      </c>
      <c r="V41" s="123">
        <f t="shared" si="3"/>
        <v>0</v>
      </c>
      <c r="W41" s="123">
        <f t="shared" si="4"/>
        <v>2</v>
      </c>
      <c r="X41" s="123">
        <f t="shared" si="9"/>
        <v>1</v>
      </c>
      <c r="Y41" s="123">
        <f t="shared" si="10"/>
        <v>0</v>
      </c>
      <c r="Z41" s="123">
        <f t="shared" si="11"/>
        <v>2</v>
      </c>
      <c r="AA41" s="123">
        <f t="shared" si="17"/>
        <v>0</v>
      </c>
      <c r="AB41" s="123">
        <f t="shared" si="6"/>
        <v>-1</v>
      </c>
      <c r="AD41" s="123">
        <f>COUNTIF(AR38:AR41,CONCATENATE("&gt;=",AR41))</f>
        <v>2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0</v>
      </c>
      <c r="AH41" s="123">
        <f>COUNTIF($S$7:$T$78,"=" &amp; AE41 &amp; "_lose")</f>
        <v>2</v>
      </c>
      <c r="AI41" s="123">
        <f>SUMIF($E$7:$E$78,$AE41,$F$7:$F$78) + SUMIF($H$7:$H$78,$AE41,$G$7:$G$78)</f>
        <v>4</v>
      </c>
      <c r="AJ41" s="123">
        <f>SUMIF($E$7:$E$78,$AE41,$G$7:$G$78) + SUMIF($H$7:$H$78,$AE41,$F$7:$F$78)</f>
        <v>7</v>
      </c>
      <c r="AL41" s="123">
        <f>AI41-AJ41</f>
        <v>-3</v>
      </c>
      <c r="AM41" s="123">
        <f>AL41-AL42</f>
        <v>0</v>
      </c>
      <c r="AN41" s="123">
        <f>AF41*3+AG41</f>
        <v>3</v>
      </c>
      <c r="AO41" s="123">
        <f>AN41/AN42*10+BA41</f>
        <v>3.9980071741729772</v>
      </c>
      <c r="AP41" s="123">
        <f>AO41*10000000+BI41*100+AM41/AM42*10+AI41/AI42*1++IF(AQ41=0,ROW(),AQ41)/2000000</f>
        <v>39980072.92729798</v>
      </c>
      <c r="AQ41" s="126">
        <f>VLOOKUP(AE41,db_fifarank,2,FALSE)</f>
        <v>1483.05</v>
      </c>
      <c r="AR41" s="125">
        <f>AP41/AP42</f>
        <v>0.44422297439863118</v>
      </c>
      <c r="AT41" s="126" cm="1">
        <f t="array" ref="AT41">SUMPRODUCT(($S$7:$S$78=AE41&amp;"_win")*($U$7:$U$78))+SUMPRODUCT(($T$7:$T$78=AE41&amp;"_win")*($U$7:$U$78))</f>
        <v>1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4</v>
      </c>
      <c r="AW41" s="126" cm="1">
        <f t="array" ref="AW41">SUMPRODUCT(($E$7:$E$78=AE41)*($U$7:$U$78)*($G$7:$G$78))+SUMPRODUCT(($H$7:$H$78=AE41)*($U$7:$U$78)*($F$7:$F$78))</f>
        <v>4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500.8</v>
      </c>
      <c r="BA41" s="126">
        <f>AZ41/AZ42</f>
        <v>0.99800717417297724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2</v>
      </c>
      <c r="BH41" s="126">
        <f>BB41/BB42*1000+BC41/BC42*100+BG41/BG42*10+BD41/BD42</f>
        <v>4</v>
      </c>
      <c r="BI41" s="126">
        <f>BH41/BH42</f>
        <v>7.8482668410725966E-3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3</v>
      </c>
      <c r="H42" s="80" t="str">
        <f>AE39</f>
        <v>Japan</v>
      </c>
      <c r="J42" s="35" t="str">
        <f>VLOOKUP(4,AD38:AN41,2,FALSE)</f>
        <v>Netherlands</v>
      </c>
      <c r="K42" s="36">
        <f>L42+M42+N42</f>
        <v>3</v>
      </c>
      <c r="L42" s="36">
        <f>VLOOKUP(4,AD38:AN41,3,FALSE)</f>
        <v>1</v>
      </c>
      <c r="M42" s="36">
        <f>VLOOKUP(4,AD38:AN41,4,FALSE)</f>
        <v>0</v>
      </c>
      <c r="N42" s="36">
        <f>VLOOKUP(4,AD38:AN41,5,FALSE)</f>
        <v>2</v>
      </c>
      <c r="O42" s="36" t="str">
        <f>VLOOKUP(4,AD38:AN41,6,FALSE) &amp; " - " &amp; VLOOKUP(4,AD38:AN41,7,FALSE)</f>
        <v>3 - 5</v>
      </c>
      <c r="P42" s="37">
        <f>L42*3+M42</f>
        <v>3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1</v>
      </c>
      <c r="AH42" s="123">
        <f t="shared" si="18"/>
        <v>3</v>
      </c>
      <c r="AI42" s="123">
        <f>MAX(AI38:AI41)+1</f>
        <v>10</v>
      </c>
      <c r="AL42" s="123">
        <f>MIN(AL38:AL41)</f>
        <v>-3</v>
      </c>
      <c r="AM42" s="123">
        <f>MAX(AM38:AM41)+1</f>
        <v>11</v>
      </c>
      <c r="AN42" s="123">
        <f>MAX(AN38:AN41)+1</f>
        <v>10</v>
      </c>
      <c r="AO42" s="123">
        <f>MAX(AO38:AO41)+1</f>
        <v>10</v>
      </c>
      <c r="AP42" s="123">
        <f>MAX(AP38:AP41)+1</f>
        <v>90000011.776565999</v>
      </c>
      <c r="AT42" s="126">
        <f>MAX(AT38:AT41)-MIN(AT38:AT41)+1</f>
        <v>2</v>
      </c>
      <c r="AU42" s="126">
        <f>MAX(AU38:AU41)-MIN(AU38:AU41)+1</f>
        <v>1</v>
      </c>
      <c r="AV42" s="126">
        <f>MAX(AV38:AV41)-MIN(AV38:AV41)+1</f>
        <v>5</v>
      </c>
      <c r="AW42" s="126">
        <f>MAX(AW38:AW41)-MIN(AW38:AW41)+1</f>
        <v>5</v>
      </c>
      <c r="AY42" s="126">
        <f>MAX(AY38:AY41)-MIN(AY38:AY41)+1</f>
        <v>1</v>
      </c>
      <c r="AZ42" s="126">
        <f>MAX(AZ38:AZ41)+1</f>
        <v>501.8</v>
      </c>
      <c r="BB42" s="126">
        <f>MAX(BB38:BB41)-MIN(BB38:BB41)+1</f>
        <v>2</v>
      </c>
      <c r="BC42" s="126">
        <f>MAX(BC38:BC41)-MIN(BC38:BC41)+1</f>
        <v>1</v>
      </c>
      <c r="BD42" s="126">
        <f>MAX(BD38:BD41)-MIN(BD38:BD41)+1</f>
        <v>3</v>
      </c>
      <c r="BE42" s="126">
        <f>MAX(BE38:BE41)-MIN(BE38:BE41)+1</f>
        <v>3</v>
      </c>
      <c r="BG42" s="126">
        <f>MAX(BG38:BG41)-MIN(BG38:BG41)+1</f>
        <v>5</v>
      </c>
      <c r="BH42" s="126">
        <f>MAX(BH38:BH41)+1</f>
        <v>509.66666666666669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0</v>
      </c>
      <c r="G43" s="20">
        <v>4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Uruguay_lose</v>
      </c>
      <c r="T43" s="127" t="str">
        <f t="shared" si="2"/>
        <v>Cape Verde_win</v>
      </c>
      <c r="U43" s="123">
        <f t="shared" si="8"/>
        <v>1</v>
      </c>
      <c r="V43" s="123">
        <f t="shared" si="3"/>
        <v>0</v>
      </c>
      <c r="W43" s="123">
        <f t="shared" si="4"/>
        <v>4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-1</v>
      </c>
      <c r="BK43" s="132"/>
      <c r="BL43" s="26" t="str">
        <f>AS39</f>
        <v>Tunisia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0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Spain_lose</v>
      </c>
      <c r="T44" s="127" t="str">
        <f t="shared" si="2"/>
        <v>Saudi Arabia_win</v>
      </c>
      <c r="U44" s="123">
        <f t="shared" si="8"/>
        <v>1</v>
      </c>
      <c r="V44" s="123">
        <f t="shared" si="3"/>
        <v>0</v>
      </c>
      <c r="W44" s="123">
        <f t="shared" si="4"/>
        <v>1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-1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0</v>
      </c>
      <c r="AH44" s="123">
        <f>COUNTIF($S$7:$T$78,"=" &amp; AE44 &amp; "_lose")</f>
        <v>1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4</v>
      </c>
      <c r="AL44" s="123">
        <f>AI44-AJ44</f>
        <v>3</v>
      </c>
      <c r="AM44" s="123">
        <f>AL44-AL48</f>
        <v>10</v>
      </c>
      <c r="AN44" s="123">
        <f>AF44*3+AG44</f>
        <v>6</v>
      </c>
      <c r="AO44" s="123">
        <f>AN44/AN48*10+BA44</f>
        <v>6</v>
      </c>
      <c r="AP44" s="123">
        <f>AO44*10000000+BI44*100+AM44/AM48*10+AI44/AI48*1++IF(AQ44=0,ROW(),AQ44)/2000000</f>
        <v>60000008.568175048</v>
      </c>
      <c r="AQ44" s="126">
        <f>VLOOKUP(AE44,db_fifarank,2,FALSE)</f>
        <v>1734.71</v>
      </c>
      <c r="AR44" s="125">
        <f>AP44/AP48</f>
        <v>0.66666667959767023</v>
      </c>
      <c r="AS44" s="125" t="str">
        <f>IF(SUM(AF44:AH47)=12,J45,"1G")</f>
        <v>Iran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0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0</v>
      </c>
      <c r="G45" s="20">
        <v>1</v>
      </c>
      <c r="H45" s="80" t="str">
        <f>AE46</f>
        <v>Iran</v>
      </c>
      <c r="J45" s="30" t="str">
        <f>VLOOKUP(1,AD44:AN47,2,FALSE)</f>
        <v>Iran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7 - 2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Belgium_lose</v>
      </c>
      <c r="T45" s="127" t="str">
        <f t="shared" si="2"/>
        <v>Iran_win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-1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0</v>
      </c>
      <c r="AH45" s="123">
        <f>COUNTIF($S$7:$T$78,"=" &amp; AE45 &amp; "_lose")</f>
        <v>2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6</v>
      </c>
      <c r="AL45" s="123">
        <f>AI45-AJ45</f>
        <v>-1</v>
      </c>
      <c r="AM45" s="123">
        <f>AL45-AL48</f>
        <v>6</v>
      </c>
      <c r="AN45" s="123">
        <f>AF45*3+AG45</f>
        <v>3</v>
      </c>
      <c r="AO45" s="123">
        <f>AN45/AN48*10+BA45</f>
        <v>3</v>
      </c>
      <c r="AP45" s="123">
        <f>AO45*10000000+BI45*100+AM45/AM48*10+AI45/AI48*1++IF(AQ45=0,ROW(),AQ45)/2000000</f>
        <v>30000005.241166238</v>
      </c>
      <c r="AQ45" s="126">
        <f>VLOOKUP(AE45,db_fifarank,2,FALSE)</f>
        <v>1563.24</v>
      </c>
      <c r="AR45" s="125">
        <f>AP45/AP48</f>
        <v>0.33333335043304174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Senegal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7 - 4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1</v>
      </c>
      <c r="AE46" s="124" t="str">
        <f>VLOOKUP("Iran",T,lang,FALSE)</f>
        <v>Iran</v>
      </c>
      <c r="AF46" s="123">
        <f>COUNTIF($S$7:$T$78,"=" &amp; AE46 &amp; "_win")</f>
        <v>3</v>
      </c>
      <c r="AG46" s="123">
        <f>COUNTIF($S$7:$T$78,"=" &amp; AE46 &amp; "_draw")</f>
        <v>0</v>
      </c>
      <c r="AH46" s="123">
        <f>COUNTIF($S$7:$T$78,"=" &amp; AE46 &amp; "_lose")</f>
        <v>0</v>
      </c>
      <c r="AI46" s="123">
        <f>SUMIF($E$7:$E$78,$AE46,$F$7:$F$78) + SUMIF($H$7:$H$78,$AE46,$G$7:$G$78)</f>
        <v>7</v>
      </c>
      <c r="AJ46" s="123">
        <f>SUMIF($E$7:$E$78,$AE46,$G$7:$G$78) + SUMIF($H$7:$H$78,$AE46,$F$7:$F$78)</f>
        <v>2</v>
      </c>
      <c r="AL46" s="123">
        <f>AI46-AJ46</f>
        <v>5</v>
      </c>
      <c r="AM46" s="123">
        <f>AL46-AL48</f>
        <v>12</v>
      </c>
      <c r="AN46" s="123">
        <f>AF46*3+AG46</f>
        <v>9</v>
      </c>
      <c r="AO46" s="123">
        <f>AN46/AN48*10+BA46</f>
        <v>9</v>
      </c>
      <c r="AP46" s="123">
        <f>AO46*10000000+BI46*100+AM46/AM48*10+AI46/AI48*1++IF(AQ46=0,ROW(),AQ46)/2000000</f>
        <v>90000010.106576875</v>
      </c>
      <c r="AQ46" s="126">
        <f>VLOOKUP(AE46,db_fifarank,2,FALSE)</f>
        <v>1615.3</v>
      </c>
      <c r="AR46" s="125">
        <f>AP46/AP48</f>
        <v>0.9999999888888903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Germany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3</v>
      </c>
      <c r="G47" s="20">
        <v>1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5 - 6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1</v>
      </c>
      <c r="V47" s="123">
        <f t="shared" ref="V47:V78" si="21">U47*F47</f>
        <v>3</v>
      </c>
      <c r="W47" s="123">
        <f t="shared" ref="W47:W78" si="22">U47*G47</f>
        <v>1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9</v>
      </c>
      <c r="AL47" s="123">
        <f>AI47-AJ47</f>
        <v>-7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0.25064078499999998</v>
      </c>
      <c r="AQ47" s="126">
        <f>VLOOKUP(AE47,db_fifarank,2,FALSE)</f>
        <v>1281.57</v>
      </c>
      <c r="AR47" s="125">
        <f>AP47/AP48</f>
        <v>2.7848972674369377E-9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4</v>
      </c>
      <c r="G48" s="20">
        <v>2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2 - 9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1</v>
      </c>
      <c r="V48" s="123">
        <f t="shared" si="21"/>
        <v>4</v>
      </c>
      <c r="W48" s="123">
        <f t="shared" si="22"/>
        <v>2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8</v>
      </c>
      <c r="AL48" s="123">
        <f>MIN(AL44:AL47)</f>
        <v>-7</v>
      </c>
      <c r="AM48" s="123">
        <f>MAX(AM44:AM47)+1</f>
        <v>13</v>
      </c>
      <c r="AN48" s="123">
        <f>MAX(AN44:AN47)+1</f>
        <v>10</v>
      </c>
      <c r="AO48" s="123">
        <f>MAX(AO44:AO47)+1</f>
        <v>10</v>
      </c>
      <c r="AP48" s="123">
        <f>MAX(AP44:AP47)+1</f>
        <v>90000011.106576875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Senegal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Cape Verde</v>
      </c>
      <c r="CO48" s="61"/>
      <c r="CP48" s="63"/>
      <c r="CQ48" s="25"/>
      <c r="CR48" s="111" t="str">
        <f>IF(OR(CO48="",CO49="",AND(CP48="",CP49&lt;&gt;""),AND(CP49="",CP48&lt;&gt;""),AND(CQ48="",CQ49&lt;&gt;""),AND(CQ49="",CQ48&lt;&gt;"")),"",CO48*1000+CP48*10+CQ48)</f>
        <v/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1</v>
      </c>
      <c r="G49" s="20">
        <v>3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Argentina_lose</v>
      </c>
      <c r="T49" s="127" t="str">
        <f t="shared" si="20"/>
        <v>Austria_win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-1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Senegal</v>
      </c>
      <c r="CO49" s="62"/>
      <c r="CP49" s="64"/>
      <c r="CQ49" s="27"/>
      <c r="CR49" s="111" t="str">
        <f>IF(CR48="","",CO49*1000+CP49*10+CQ49)</f>
        <v/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4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4</v>
      </c>
      <c r="AE50" s="124" t="str">
        <f>VLOOKUP("Spain",T,lang,FALSE)</f>
        <v>Spain</v>
      </c>
      <c r="AF50" s="123">
        <f>COUNTIF($S$7:$T$78,"=" &amp; AE50 &amp; "_win")</f>
        <v>1</v>
      </c>
      <c r="AG50" s="123">
        <f>COUNTIF($S$7:$T$78,"=" &amp; AE50 &amp; "_draw")</f>
        <v>0</v>
      </c>
      <c r="AH50" s="123">
        <f>COUNTIF($S$7:$T$78,"=" &amp; AE50 &amp; "_lose")</f>
        <v>2</v>
      </c>
      <c r="AI50" s="123">
        <f>SUMIF($E$7:$E$78,$AE50,$F$7:$F$78) + SUMIF($H$7:$H$78,$AE50,$G$7:$G$78)</f>
        <v>4</v>
      </c>
      <c r="AJ50" s="123">
        <f>SUMIF($E$7:$E$78,$AE50,$G$7:$G$78) + SUMIF($H$7:$H$78,$AE50,$F$7:$F$78)</f>
        <v>6</v>
      </c>
      <c r="AL50" s="123">
        <f>AI50-AJ50</f>
        <v>-2</v>
      </c>
      <c r="AM50" s="123">
        <f>AL50-AL54</f>
        <v>2</v>
      </c>
      <c r="AN50" s="123">
        <f>AF50*3+AG50</f>
        <v>3</v>
      </c>
      <c r="AO50" s="123">
        <f>AN50/AN54*10+BA50</f>
        <v>4.2922414168225922</v>
      </c>
      <c r="AP50" s="123">
        <f>AO50*10000000+BI50*100+AM50/AM54*10+AI50/AI54*1++IF(AQ50=0,ROW(),AQ50)/2000000</f>
        <v>42922416.613608569</v>
      </c>
      <c r="AQ50" s="126">
        <f>VLOOKUP(AE50,db_fifarank,2,FALSE)</f>
        <v>1876.4</v>
      </c>
      <c r="AR50" s="125">
        <f>AP50/AP54</f>
        <v>0.44853486965479011</v>
      </c>
      <c r="AS50" s="125" t="str">
        <f>IF(SUM(AF50:AH53)=12,J51,"1H")</f>
        <v>Cape Verde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1</v>
      </c>
      <c r="AX50" s="126">
        <f>AV50-AW50</f>
        <v>-1</v>
      </c>
      <c r="AY50" s="126">
        <f>AX50-MIN(AX50:AX53)</f>
        <v>3</v>
      </c>
      <c r="AZ50" s="126">
        <f>AT50/AT54*1000+AU50/AU54*100+AY50/AY54*10+AV50/AV54</f>
        <v>3.333333333333333</v>
      </c>
      <c r="BA50" s="126">
        <f>AZ50/AZ54</f>
        <v>6.5271311083068611E-3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South Africa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Cape Verde</v>
      </c>
      <c r="K51" s="31">
        <f>L51+M51+N51</f>
        <v>3</v>
      </c>
      <c r="L51" s="31">
        <f>VLOOKUP(1,AD50:AN53,3,FALSE)</f>
        <v>2</v>
      </c>
      <c r="M51" s="31">
        <f>VLOOKUP(1,AD50:AN53,4,FALSE)</f>
        <v>0</v>
      </c>
      <c r="N51" s="31">
        <f>VLOOKUP(1,AD50:AN53,5,FALSE)</f>
        <v>1</v>
      </c>
      <c r="O51" s="31" t="str">
        <f>VLOOKUP(1,AD50:AN53,6,FALSE) &amp; " - " &amp; VLOOKUP(1,AD50:AN53,7,FALSE)</f>
        <v>8 - 3</v>
      </c>
      <c r="P51" s="32">
        <f>L51*3+M51</f>
        <v>6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1</v>
      </c>
      <c r="AE51" s="124" t="str">
        <f>VLOOKUP("Cape Verde",T,lang,FALSE)</f>
        <v>Cape Verde</v>
      </c>
      <c r="AF51" s="123">
        <f>COUNTIF($S$7:$T$78,"=" &amp; AE51 &amp; "_win")</f>
        <v>2</v>
      </c>
      <c r="AG51" s="123">
        <f>COUNTIF($S$7:$T$78,"=" &amp; AE51 &amp; "_draw")</f>
        <v>0</v>
      </c>
      <c r="AH51" s="123">
        <f>COUNTIF($S$7:$T$78,"=" &amp; AE51 &amp; "_lose")</f>
        <v>1</v>
      </c>
      <c r="AI51" s="123">
        <f>SUMIF($E$7:$E$78,$AE51,$F$7:$F$78) + SUMIF($H$7:$H$78,$AE51,$G$7:$G$78)</f>
        <v>8</v>
      </c>
      <c r="AJ51" s="123">
        <f>SUMIF($E$7:$E$78,$AE51,$G$7:$G$78) + SUMIF($H$7:$H$78,$AE51,$F$7:$F$78)</f>
        <v>3</v>
      </c>
      <c r="AL51" s="123">
        <f>AI51-AJ51</f>
        <v>5</v>
      </c>
      <c r="AM51" s="123">
        <f>AL51-AL54</f>
        <v>9</v>
      </c>
      <c r="AN51" s="123">
        <f>AF51*3+AG51</f>
        <v>6</v>
      </c>
      <c r="AO51" s="123">
        <f>AN51/AN54*10+BA51</f>
        <v>9.5694704320960788</v>
      </c>
      <c r="AP51" s="123">
        <f>AO51*10000000+BI51*100+AM51/AM54*10+AI51/AI54*1++IF(AQ51=0,ROW(),AQ51)/2000000</f>
        <v>95694714.210532755</v>
      </c>
      <c r="AQ51" s="126">
        <f>VLOOKUP(AE51,db_fifarank,2,FALSE)</f>
        <v>1366.13</v>
      </c>
      <c r="AR51" s="125">
        <f>AP51/AP54</f>
        <v>0.99999998955010216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1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4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4</v>
      </c>
      <c r="AY51" s="126">
        <f>AX51-MIN(AX50:AX53)</f>
        <v>8</v>
      </c>
      <c r="AZ51" s="126">
        <f>AT51/AT54*1000+AU51/AU54*100+AY51/AY54*10+AV51/AV54</f>
        <v>509.68888888888893</v>
      </c>
      <c r="BA51" s="126">
        <f>AZ51/AZ54</f>
        <v>0.998041860667508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3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8 - 7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Panama_win</v>
      </c>
      <c r="T52" s="127" t="str">
        <f t="shared" si="20"/>
        <v>Croatia_lose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7</v>
      </c>
      <c r="AL52" s="123">
        <f>AI52-AJ52</f>
        <v>-4</v>
      </c>
      <c r="AM52" s="123">
        <f>AL52-AL54</f>
        <v>0</v>
      </c>
      <c r="AN52" s="123">
        <f>AF52*3+AG52</f>
        <v>3</v>
      </c>
      <c r="AO52" s="123">
        <f>AN52/AN54*10+BA52</f>
        <v>5.2760541316739911</v>
      </c>
      <c r="AP52" s="123">
        <f>AO52*10000000+BI52*100+AM52/AM54*10+AI52/AI54*1++IF(AQ52=0,ROW(),AQ52)/2000000</f>
        <v>52760541.650783964</v>
      </c>
      <c r="AQ52" s="126">
        <f>VLOOKUP(AE52,db_fifarank,2,FALSE)</f>
        <v>1421.43</v>
      </c>
      <c r="AR52" s="125">
        <f>AP52/AP54</f>
        <v>0.55134227145886117</v>
      </c>
      <c r="AT52" s="126" cm="1">
        <f t="array" ref="AT52">SUMPRODUCT(($S$7:$S$78=AE52&amp;"_win")*($U$7:$U$78))+SUMPRODUCT(($T$7:$T$78=AE52&amp;"_win")*($U$7:$U$78))</f>
        <v>1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1</v>
      </c>
      <c r="AY52" s="126">
        <f>AX52-MIN(AX50:AX53)</f>
        <v>5</v>
      </c>
      <c r="AZ52" s="126">
        <f>AT52/AT54*1000+AU52/AU54*100+AY52/AY54*10+AV52/AV54</f>
        <v>505.75555555555553</v>
      </c>
      <c r="BA52" s="126">
        <f>AZ52/AZ54</f>
        <v>0.9903398459597057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South Africa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4</v>
      </c>
      <c r="G53" s="20">
        <v>2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3 - 7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8</v>
      </c>
      <c r="AJ53" s="123">
        <f>SUMIF($E$7:$E$78,$AE53,$G$7:$G$78) + SUMIF($H$7:$H$78,$AE53,$F$7:$F$78)</f>
        <v>7</v>
      </c>
      <c r="AL53" s="123">
        <f>AI53-AJ53</f>
        <v>1</v>
      </c>
      <c r="AM53" s="123">
        <f>AL53-AL54</f>
        <v>5</v>
      </c>
      <c r="AN53" s="123">
        <f>AF53*3+AG53</f>
        <v>6</v>
      </c>
      <c r="AO53" s="123">
        <f>AN53/AN54*10+BA53</f>
        <v>8.5714285714285712</v>
      </c>
      <c r="AP53" s="123">
        <f>AO53*10000000+BI53*100+AM53/AM54*10+AI53/AI54*1++IF(AQ53=0,ROW(),AQ53)/2000000</f>
        <v>85714291.604011148</v>
      </c>
      <c r="AQ53" s="126">
        <f>VLOOKUP(AE53,db_fifarank,2,FALSE)</f>
        <v>1673.07</v>
      </c>
      <c r="AR53" s="125">
        <f>AP53/AP54</f>
        <v>0.89570559268017869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4</v>
      </c>
      <c r="AX53" s="126">
        <f>AV53-AW53</f>
        <v>-4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1</v>
      </c>
      <c r="G54" s="20">
        <v>3</v>
      </c>
      <c r="H54" s="80" t="str">
        <f>AE69</f>
        <v>DR Congo</v>
      </c>
      <c r="J54" s="35" t="str">
        <f>VLOOKUP(4,AD50:AN53,2,FALSE)</f>
        <v>Spain</v>
      </c>
      <c r="K54" s="36">
        <f>L54+M54+N54</f>
        <v>3</v>
      </c>
      <c r="L54" s="36">
        <f>VLOOKUP(4,AD50:AN53,3,FALSE)</f>
        <v>1</v>
      </c>
      <c r="M54" s="36">
        <f>VLOOKUP(4,AD50:AN53,4,FALSE)</f>
        <v>0</v>
      </c>
      <c r="N54" s="36">
        <f>VLOOKUP(4,AD50:AN53,5,FALSE)</f>
        <v>2</v>
      </c>
      <c r="O54" s="36" t="str">
        <f>VLOOKUP(4,AD50:AN53,6,FALSE) &amp; " - " &amp; VLOOKUP(4,AD50:AN53,7,FALSE)</f>
        <v>4 - 6</v>
      </c>
      <c r="P54" s="37">
        <f>L54*3+M54</f>
        <v>3</v>
      </c>
      <c r="R54" s="123">
        <f>DATE(2026,6,23)+TIME(15,0,0)+gmt_delta</f>
        <v>46197.083333333336</v>
      </c>
      <c r="S54" s="127" t="str">
        <f t="shared" si="19"/>
        <v>Colombia_lose</v>
      </c>
      <c r="T54" s="127" t="str">
        <f t="shared" si="20"/>
        <v>DR Congo_win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-1</v>
      </c>
      <c r="AF54" s="123">
        <f t="shared" ref="AF54:AH54" si="25">MAX(AF50:AF53)-MIN(AF50:AF53)+1</f>
        <v>2</v>
      </c>
      <c r="AG54" s="123">
        <f t="shared" si="25"/>
        <v>1</v>
      </c>
      <c r="AH54" s="123">
        <f t="shared" si="25"/>
        <v>2</v>
      </c>
      <c r="AI54" s="123">
        <f>MAX(AI50:AI53)+1</f>
        <v>9</v>
      </c>
      <c r="AL54" s="123">
        <f>MIN(AL50:AL53)</f>
        <v>-4</v>
      </c>
      <c r="AM54" s="123">
        <f>MAX(AM50:AM53)+1</f>
        <v>10</v>
      </c>
      <c r="AN54" s="123">
        <f>MAX(AN50:AN53)+1</f>
        <v>7</v>
      </c>
      <c r="AO54" s="123">
        <f>MAX(AO50:AO53)+1</f>
        <v>10.569470432096079</v>
      </c>
      <c r="AP54" s="123">
        <f>MAX(AP50:AP53)+1</f>
        <v>95694715.210532755</v>
      </c>
      <c r="AT54" s="126">
        <f>MAX(AT50:AT53)-MIN(AT50:AT53)+1</f>
        <v>2</v>
      </c>
      <c r="AU54" s="126">
        <f>MAX(AU50:AU53)-MIN(AU50:AU53)+1</f>
        <v>1</v>
      </c>
      <c r="AV54" s="126">
        <f>MAX(AV50:AV53)-MIN(AV50:AV53)+1</f>
        <v>5</v>
      </c>
      <c r="AW54" s="126">
        <f>MAX(AW50:AW53)-MIN(AW50:AW53)+1</f>
        <v>5</v>
      </c>
      <c r="AY54" s="126">
        <f>MAX(AY50:AY53)-MIN(AY50:AY53)+1</f>
        <v>9</v>
      </c>
      <c r="AZ54" s="126">
        <f>MAX(AZ50:AZ53)+1</f>
        <v>510.68888888888893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4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Uzbekistan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Senegal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3</v>
      </c>
      <c r="AE56" s="124" t="str">
        <f>VLOOKUP("France",T,lang,FALSE)</f>
        <v>France</v>
      </c>
      <c r="AF56" s="123">
        <f>COUNTIF($S$7:$T$78,"=" &amp; AE56 &amp; "_win")</f>
        <v>1</v>
      </c>
      <c r="AG56" s="123">
        <f>COUNTIF($S$7:$T$78,"=" &amp; AE56 &amp; "_draw")</f>
        <v>0</v>
      </c>
      <c r="AH56" s="123">
        <f>COUNTIF($S$7:$T$78,"=" &amp; AE56 &amp; "_lose")</f>
        <v>2</v>
      </c>
      <c r="AI56" s="123">
        <f>SUMIF($E$7:$E$78,$AE56,$F$7:$F$78) + SUMIF($H$7:$H$78,$AE56,$G$7:$G$78)</f>
        <v>5</v>
      </c>
      <c r="AJ56" s="123">
        <f>SUMIF($E$7:$E$78,$AE56,$G$7:$G$78) + SUMIF($H$7:$H$78,$AE56,$F$7:$F$78)</f>
        <v>6</v>
      </c>
      <c r="AL56" s="123">
        <f>AI56-AJ56</f>
        <v>-1</v>
      </c>
      <c r="AM56" s="123">
        <f>AL56-AL60</f>
        <v>1</v>
      </c>
      <c r="AN56" s="123">
        <f>AF56*3+AG56</f>
        <v>3</v>
      </c>
      <c r="AO56" s="123">
        <f>AN56/AN60*10+BA56</f>
        <v>5.2837535014005601</v>
      </c>
      <c r="AP56" s="123">
        <f>AO56*10000000+BI56*100+AM56/AM60*10+AI56/AI60*1++IF(AQ56=0,ROW(),AQ56)/2000000</f>
        <v>52837537.639944263</v>
      </c>
      <c r="AQ56" s="126">
        <f>VLOOKUP(AE56,db_fifarank,2,FALSE)</f>
        <v>1877.32</v>
      </c>
      <c r="AR56" s="125">
        <f>AP56/AP60</f>
        <v>0.55217531532605457</v>
      </c>
      <c r="AS56" s="125" t="str">
        <f>IF(SUM(AF56:AH59)=12,J57,"1I")</f>
        <v>Norway</v>
      </c>
      <c r="AT56" s="126" cm="1">
        <f t="array" ref="AT56">SUMPRODUCT(($S$7:$S$78=AE56&amp;"_win")*($U$7:$U$78))+SUMPRODUCT(($T$7:$T$78=AE56&amp;"_win")*($U$7:$U$78))</f>
        <v>1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4</v>
      </c>
      <c r="AW56" s="126" cm="1">
        <f t="array" ref="AW56">SUMPRODUCT(($E$7:$E$78=AE56)*($U$7:$U$78)*($G$7:$G$78))+SUMPRODUCT(($H$7:$H$78=AE56)*($U$7:$U$78)*($F$7:$F$78))</f>
        <v>2</v>
      </c>
      <c r="AX56" s="126">
        <f>AV56-AW56</f>
        <v>2</v>
      </c>
      <c r="AY56" s="126">
        <f>AX56-MIN(AX56:AX59)</f>
        <v>4</v>
      </c>
      <c r="AZ56" s="126">
        <f>AT56/AT60*1000+AU56/AU60*100+AY56/AY60*10+AV56/AV60</f>
        <v>509</v>
      </c>
      <c r="BA56" s="126">
        <f>AZ56/AZ60</f>
        <v>0.99803921568627452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4</v>
      </c>
      <c r="G57" s="20">
        <v>2</v>
      </c>
      <c r="H57" s="80" t="str">
        <f>AE14</f>
        <v>Canada</v>
      </c>
      <c r="I57" s="69"/>
      <c r="J57" s="30" t="str">
        <f>VLOOKUP(1,AD56:AN59,2,FALSE)</f>
        <v>Norway</v>
      </c>
      <c r="K57" s="31">
        <f>L57+M57+N57</f>
        <v>3</v>
      </c>
      <c r="L57" s="31">
        <f>VLOOKUP(1,AD56:AN59,3,FALSE)</f>
        <v>2</v>
      </c>
      <c r="M57" s="31">
        <f>VLOOKUP(1,AD56:AN59,4,FALSE)</f>
        <v>0</v>
      </c>
      <c r="N57" s="31">
        <f>VLOOKUP(1,AD56:AN59,5,FALSE)</f>
        <v>1</v>
      </c>
      <c r="O57" s="31" t="str">
        <f>VLOOKUP(1,AD56:AN59,6,FALSE) &amp; " - " &amp; VLOOKUP(1,AD56:AN59,7,FALSE)</f>
        <v>7 - 5</v>
      </c>
      <c r="P57" s="32">
        <f>L57*3+M57</f>
        <v>6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1</v>
      </c>
      <c r="V57" s="123">
        <f t="shared" si="21"/>
        <v>4</v>
      </c>
      <c r="W57" s="123">
        <f t="shared" si="22"/>
        <v>2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6</v>
      </c>
      <c r="AJ57" s="123">
        <f>SUMIF($E$7:$E$78,$AE57,$G$7:$G$78) + SUMIF($H$7:$H$78,$AE57,$F$7:$F$78)</f>
        <v>5</v>
      </c>
      <c r="AL57" s="123">
        <f>AI57-AJ57</f>
        <v>1</v>
      </c>
      <c r="AM57" s="123">
        <f>AL57-AL60</f>
        <v>3</v>
      </c>
      <c r="AN57" s="123">
        <f>AF57*3+AG57</f>
        <v>6</v>
      </c>
      <c r="AO57" s="123">
        <f>AN57/AN60*10+BA57</f>
        <v>8.5719187675070021</v>
      </c>
      <c r="AP57" s="123">
        <f>AO57*10000000+BI57*100+AM57/AM60*10+AI57/AI60*1++IF(AQ57=0,ROW(),AQ57)/2000000</f>
        <v>85719194.425914511</v>
      </c>
      <c r="AQ57" s="126">
        <f>VLOOKUP(AE57,db_fifarank,2,FALSE)</f>
        <v>1688.99</v>
      </c>
      <c r="AR57" s="125">
        <f>AP57/AP60</f>
        <v>0.89580297125433295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3</v>
      </c>
      <c r="AX57" s="126">
        <f>AV57-AW57</f>
        <v>-2</v>
      </c>
      <c r="AY57" s="126">
        <f>AX57-MIN(AX56:AX59)</f>
        <v>0</v>
      </c>
      <c r="AZ57" s="126">
        <f>AT57/AT60*1000+AU57/AU60*100+AY57/AY60*10+AV57/AV60</f>
        <v>0.25</v>
      </c>
      <c r="BA57" s="126">
        <f>AZ57/AZ60</f>
        <v>4.9019607843137254E-4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3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6 - 5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1</v>
      </c>
      <c r="AG58" s="123">
        <f>COUNTIF($S$7:$T$78,"=" &amp; AE58 &amp; "_draw")</f>
        <v>0</v>
      </c>
      <c r="AH58" s="123">
        <f>COUNTIF($S$7:$T$78,"=" &amp; AE58 &amp; "_lose")</f>
        <v>2</v>
      </c>
      <c r="AI58" s="123">
        <f>SUMIF($E$7:$E$78,$AE58,$F$7:$F$78) + SUMIF($H$7:$H$78,$AE58,$G$7:$G$78)</f>
        <v>7</v>
      </c>
      <c r="AJ58" s="123">
        <f>SUMIF($E$7:$E$78,$AE58,$G$7:$G$78) + SUMIF($H$7:$H$78,$AE58,$F$7:$F$78)</f>
        <v>9</v>
      </c>
      <c r="AL58" s="123">
        <f>AI58-AJ58</f>
        <v>-2</v>
      </c>
      <c r="AM58" s="123">
        <f>AL58-AL60</f>
        <v>0</v>
      </c>
      <c r="AN58" s="123">
        <f>AF58*3+AG58</f>
        <v>3</v>
      </c>
      <c r="AO58" s="123">
        <f>AN58/AN60*10+BA58</f>
        <v>4.2866946778711483</v>
      </c>
      <c r="AP58" s="123">
        <f>AO58*10000000+BI58*100+AM58/AM60*10+AI58/AI60*1++IF(AQ58=0,ROW(),AQ58)/2000000</f>
        <v>42866947.654435053</v>
      </c>
      <c r="AQ58" s="126">
        <f>VLOOKUP(AE58,db_fifarank,2,FALSE)</f>
        <v>1447.14</v>
      </c>
      <c r="AR58" s="125">
        <f>AP58/AP60</f>
        <v>0.44797830094676838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2</v>
      </c>
      <c r="AW58" s="126" cm="1">
        <f t="array" ref="AW58">SUMPRODUCT(($E$7:$E$78=AE58)*($U$7:$U$78)*($G$7:$G$78))+SUMPRODUCT(($H$7:$H$78=AE58)*($U$7:$U$78)*($F$7:$F$78))</f>
        <v>4</v>
      </c>
      <c r="AX58" s="126">
        <f>AV58-AW58</f>
        <v>-2</v>
      </c>
      <c r="AY58" s="126">
        <f>AX58-MIN(AX56:AX59)</f>
        <v>0</v>
      </c>
      <c r="AZ58" s="126">
        <f>AT58/AT60*1000+AU58/AU60*100+AY58/AY60*10+AV58/AV60</f>
        <v>0.5</v>
      </c>
      <c r="BA58" s="126">
        <f>AZ58/AZ60</f>
        <v>9.8039215686274508E-4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Algeria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4</v>
      </c>
      <c r="H59" s="80" t="str">
        <f>AE8</f>
        <v>Mexico</v>
      </c>
      <c r="I59" s="69"/>
      <c r="J59" s="33" t="str">
        <f>VLOOKUP(3,AD56:AN59,2,FALSE)</f>
        <v>France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5 - 6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1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7</v>
      </c>
      <c r="AJ59" s="123">
        <f>SUMIF($E$7:$E$78,$AE59,$G$7:$G$78) + SUMIF($H$7:$H$78,$AE59,$F$7:$F$78)</f>
        <v>5</v>
      </c>
      <c r="AL59" s="123">
        <f>AI59-AJ59</f>
        <v>2</v>
      </c>
      <c r="AM59" s="123">
        <f>AL59-AL60</f>
        <v>4</v>
      </c>
      <c r="AN59" s="123">
        <f>AF59*3+AG59</f>
        <v>6</v>
      </c>
      <c r="AO59" s="123">
        <f>AN59/AN60*10+BA59</f>
        <v>9.5689775910364148</v>
      </c>
      <c r="AP59" s="123">
        <f>AO59*10000000+BI59*100+AM59/AM60*10+AI59/AI60*1++IF(AQ59=0,ROW(),AQ59)/2000000</f>
        <v>95689784.786139622</v>
      </c>
      <c r="AQ59" s="126">
        <f>VLOOKUP(AE59,db_fifarank,2,FALSE)</f>
        <v>1550.94</v>
      </c>
      <c r="AR59" s="125">
        <f>AP59/AP60</f>
        <v>0.99999998954956382</v>
      </c>
      <c r="AT59" s="126" cm="1">
        <f t="array" ref="AT59">SUMPRODUCT(($S$7:$S$78=AE59&amp;"_win")*($U$7:$U$78))+SUMPRODUCT(($T$7:$T$78=AE59&amp;"_win")*($U$7:$U$78))</f>
        <v>1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3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2</v>
      </c>
      <c r="AY59" s="126">
        <f>AX59-MIN(AX56:AX59)</f>
        <v>4</v>
      </c>
      <c r="AZ59" s="126">
        <f>AT59/AT60*1000+AU59/AU60*100+AY59/AY60*10+AV59/AV60</f>
        <v>508.75</v>
      </c>
      <c r="BA59" s="126">
        <f>AZ59/AZ60</f>
        <v>0.99754901960784315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4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1</v>
      </c>
      <c r="M60" s="36">
        <f>VLOOKUP(4,AD56:AN59,4,FALSE)</f>
        <v>0</v>
      </c>
      <c r="N60" s="36">
        <f>VLOOKUP(4,AD56:AN59,5,FALSE)</f>
        <v>2</v>
      </c>
      <c r="O60" s="36" t="str">
        <f>VLOOKUP(4,AD56:AN59,6,FALSE) &amp; " - " &amp; VLOOKUP(4,AD56:AN59,7,FALSE)</f>
        <v>7 - 9</v>
      </c>
      <c r="P60" s="37">
        <f>L60*3+M60</f>
        <v>3</v>
      </c>
      <c r="R60" s="123">
        <f>DATE(2026,6,24)+TIME(14,0,0)+gmt_delta</f>
        <v>46198.041666666672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2</v>
      </c>
      <c r="AG60" s="123">
        <f t="shared" si="27"/>
        <v>1</v>
      </c>
      <c r="AH60" s="123">
        <f t="shared" si="27"/>
        <v>2</v>
      </c>
      <c r="AI60" s="123">
        <f>MAX(AI56:AI59)+1</f>
        <v>8</v>
      </c>
      <c r="AL60" s="123">
        <f>MIN(AL56:AL59)</f>
        <v>-2</v>
      </c>
      <c r="AM60" s="123">
        <f>MAX(AM56:AM59)+1</f>
        <v>5</v>
      </c>
      <c r="AN60" s="123">
        <f>MAX(AN56:AN59)+1</f>
        <v>7</v>
      </c>
      <c r="AO60" s="123">
        <f>MAX(AO56:AO59)+1</f>
        <v>10.568977591036415</v>
      </c>
      <c r="AP60" s="123">
        <f>MAX(AP56:AP59)+1</f>
        <v>95689785.786139622</v>
      </c>
      <c r="AT60" s="126">
        <f>MAX(AT56:AT59)-MIN(AT56:AT59)+1</f>
        <v>2</v>
      </c>
      <c r="AU60" s="126">
        <f>MAX(AU56:AU59)-MIN(AU56:AU59)+1</f>
        <v>1</v>
      </c>
      <c r="AV60" s="126">
        <f>MAX(AV56:AV59)-MIN(AV56:AV59)+1</f>
        <v>4</v>
      </c>
      <c r="AW60" s="126">
        <f>MAX(AW56:AW59)-MIN(AW56:AW59)+1</f>
        <v>4</v>
      </c>
      <c r="AY60" s="126">
        <f>MAX(AY56:AY59)-MIN(AY56:AY59)+1</f>
        <v>5</v>
      </c>
      <c r="AZ60" s="126">
        <f>MAX(AZ56:AZ59)+1</f>
        <v>510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Algeria</v>
      </c>
      <c r="BT60" s="61">
        <v>0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1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1</v>
      </c>
      <c r="V61" s="123">
        <f t="shared" si="21"/>
        <v>1</v>
      </c>
      <c r="W61" s="123">
        <f t="shared" si="22"/>
        <v>3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United States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3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Ecuador_win</v>
      </c>
      <c r="T62" s="127" t="str">
        <f t="shared" si="20"/>
        <v>Germany_lose</v>
      </c>
      <c r="U62" s="123">
        <f t="shared" si="8"/>
        <v>1</v>
      </c>
      <c r="V62" s="123">
        <f t="shared" si="21"/>
        <v>3</v>
      </c>
      <c r="W62" s="123">
        <f t="shared" si="22"/>
        <v>1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1</v>
      </c>
      <c r="AD62" s="123">
        <f>COUNTIF(AR62:AR65,CONCATENATE("&gt;=",AR62))</f>
        <v>4</v>
      </c>
      <c r="AE62" s="124" t="str">
        <f>VLOOKUP("Argentina",T,lang,FALSE)</f>
        <v>Argentina</v>
      </c>
      <c r="AF62" s="123">
        <f>COUNTIF($S$7:$T$78,"=" &amp; AE62 &amp; "_win")</f>
        <v>0</v>
      </c>
      <c r="AG62" s="123">
        <f>COUNTIF($S$7:$T$78,"=" &amp; AE62 &amp; "_draw")</f>
        <v>0</v>
      </c>
      <c r="AH62" s="123">
        <f>COUNTIF($S$7:$T$78,"=" &amp; AE62 &amp; "_lose")</f>
        <v>3</v>
      </c>
      <c r="AI62" s="123">
        <f>SUMIF($E$7:$E$78,$AE62,$F$7:$F$78) + SUMIF($H$7:$H$78,$AE62,$G$7:$G$78)</f>
        <v>2</v>
      </c>
      <c r="AJ62" s="123">
        <f>SUMIF($E$7:$E$78,$AE62,$G$7:$G$78) + SUMIF($H$7:$H$78,$AE62,$F$7:$F$78)</f>
        <v>8</v>
      </c>
      <c r="AL62" s="123">
        <f>AI62-AJ62</f>
        <v>-6</v>
      </c>
      <c r="AM62" s="123">
        <f>AL62-AL66</f>
        <v>0</v>
      </c>
      <c r="AN62" s="123">
        <f>AF62*3+AG62</f>
        <v>0</v>
      </c>
      <c r="AO62" s="123">
        <f>AN62/AN66*10+BA62</f>
        <v>0</v>
      </c>
      <c r="AP62" s="123">
        <f>AO62*10000000+BI62*100+AM62/AM66*10+AI62/AI66*1++IF(AQ62=0,ROW(),AQ62)/2000000</f>
        <v>0.22315963222222221</v>
      </c>
      <c r="AQ62" s="126">
        <f>VLOOKUP(AE62,db_fifarank,2,FALSE)</f>
        <v>1874.82</v>
      </c>
      <c r="AR62" s="125">
        <f>AP62/AP66</f>
        <v>2.4795511627613514E-9</v>
      </c>
      <c r="AS62" s="125" t="str">
        <f>IF(SUM(AF62:AH65)=12,J63,"1J")</f>
        <v>Algeria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4</v>
      </c>
      <c r="G63" s="20">
        <v>2</v>
      </c>
      <c r="H63" s="80" t="str">
        <f>AE40</f>
        <v>Sweden</v>
      </c>
      <c r="I63" s="69"/>
      <c r="J63" s="30" t="str">
        <f>VLOOKUP(1,AD62:AN65,2,FALSE)</f>
        <v>Algeria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8 - 2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1</v>
      </c>
      <c r="AE63" s="124" t="str">
        <f>VLOOKUP("Algeria",T,lang,FALSE)</f>
        <v>Algeria</v>
      </c>
      <c r="AF63" s="123">
        <f>COUNTIF($S$7:$T$78,"=" &amp; AE63 &amp; "_win")</f>
        <v>3</v>
      </c>
      <c r="AG63" s="123">
        <f>COUNTIF($S$7:$T$78,"=" &amp; AE63 &amp; "_draw")</f>
        <v>0</v>
      </c>
      <c r="AH63" s="123">
        <f>COUNTIF($S$7:$T$78,"=" &amp; AE63 &amp; "_lose")</f>
        <v>0</v>
      </c>
      <c r="AI63" s="123">
        <f>SUMIF($E$7:$E$78,$AE63,$F$7:$F$78) + SUMIF($H$7:$H$78,$AE63,$G$7:$G$78)</f>
        <v>8</v>
      </c>
      <c r="AJ63" s="123">
        <f>SUMIF($E$7:$E$78,$AE63,$G$7:$G$78) + SUMIF($H$7:$H$78,$AE63,$F$7:$F$78)</f>
        <v>2</v>
      </c>
      <c r="AL63" s="123">
        <f>AI63-AJ63</f>
        <v>6</v>
      </c>
      <c r="AM63" s="123">
        <f>AL63-AL66</f>
        <v>12</v>
      </c>
      <c r="AN63" s="123">
        <f>AF63*3+AG63</f>
        <v>9</v>
      </c>
      <c r="AO63" s="123">
        <f>AN63/AN66*10+BA63</f>
        <v>9</v>
      </c>
      <c r="AP63" s="123">
        <f>AO63*10000000+BI63*100+AM63/AM66*10+AI63/AI66*1++IF(AQ63=0,ROW(),AQ63)/2000000</f>
        <v>90000010.12044026</v>
      </c>
      <c r="AQ63" s="126">
        <f>VLOOKUP(AE63,db_fifarank,2,FALSE)</f>
        <v>1564.26</v>
      </c>
      <c r="AR63" s="125">
        <f>AP63/AP66</f>
        <v>0.9999999888888903</v>
      </c>
      <c r="AS63" s="125" t="str">
        <f>IF(SUM(AF62:AH65)=12,J64,"2J")</f>
        <v>Jordan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Belgium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Jordan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7 - 6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1</v>
      </c>
      <c r="V64" s="123">
        <f t="shared" si="21"/>
        <v>1</v>
      </c>
      <c r="W64" s="123">
        <f t="shared" si="22"/>
        <v>3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0</v>
      </c>
      <c r="AH64" s="123">
        <f>COUNTIF($S$7:$T$78,"=" &amp; AE64 &amp; "_lose")</f>
        <v>2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6</v>
      </c>
      <c r="AL64" s="123">
        <f>AI64-AJ64</f>
        <v>-1</v>
      </c>
      <c r="AM64" s="123">
        <f>AL64-AL66</f>
        <v>5</v>
      </c>
      <c r="AN64" s="123">
        <f>AF64*3+AG64</f>
        <v>3</v>
      </c>
      <c r="AO64" s="123">
        <f>AN64/AN66*10+BA64</f>
        <v>3</v>
      </c>
      <c r="AP64" s="123">
        <f>AO64*10000000+BI64*100+AM64/AM66*10+AI64/AI66*1++IF(AQ64=0,ROW(),AQ64)/2000000</f>
        <v>30000004.402506128</v>
      </c>
      <c r="AQ64" s="126">
        <f>VLOOKUP(AE64,db_fifarank,2,FALSE)</f>
        <v>1593.45</v>
      </c>
      <c r="AR64" s="125">
        <f>AP64/AP66</f>
        <v>0.33333334106325135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United States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3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5 - 6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2</v>
      </c>
      <c r="AE65" s="124" t="str">
        <f>VLOOKUP("Jordan",T,lang,FALSE)</f>
        <v>Jordan</v>
      </c>
      <c r="AF65" s="123">
        <f>COUNTIF($S$7:$T$78,"=" &amp; AE65 &amp; "_win")</f>
        <v>2</v>
      </c>
      <c r="AG65" s="123">
        <f>COUNTIF($S$7:$T$78,"=" &amp; AE65 &amp; "_draw")</f>
        <v>0</v>
      </c>
      <c r="AH65" s="123">
        <f>COUNTIF($S$7:$T$78,"=" &amp; AE65 &amp; "_lose")</f>
        <v>1</v>
      </c>
      <c r="AI65" s="123">
        <f>SUMIF($E$7:$E$78,$AE65,$F$7:$F$78) + SUMIF($H$7:$H$78,$AE65,$G$7:$G$78)</f>
        <v>7</v>
      </c>
      <c r="AJ65" s="123">
        <f>SUMIF($E$7:$E$78,$AE65,$G$7:$G$78) + SUMIF($H$7:$H$78,$AE65,$F$7:$F$78)</f>
        <v>6</v>
      </c>
      <c r="AL65" s="123">
        <f>AI65-AJ65</f>
        <v>1</v>
      </c>
      <c r="AM65" s="123">
        <f>AL65-AL66</f>
        <v>7</v>
      </c>
      <c r="AN65" s="123">
        <f>AF65*3+AG65</f>
        <v>6</v>
      </c>
      <c r="AO65" s="123">
        <f>AN65/AN66*10+BA65</f>
        <v>6</v>
      </c>
      <c r="AP65" s="123">
        <f>AO65*10000000+BI65*100+AM65/AM66*10+AI65/AI66*1++IF(AQ65=0,ROW(),AQ65)/2000000</f>
        <v>60000006.163088888</v>
      </c>
      <c r="AQ65" s="126">
        <f>VLOOKUP(AE65,db_fifarank,2,FALSE)</f>
        <v>1391.45</v>
      </c>
      <c r="AR65" s="125">
        <f>AP65/AP66</f>
        <v>0.66666665277180226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4</v>
      </c>
      <c r="H66" s="80" t="str">
        <f>AE28</f>
        <v>Australia</v>
      </c>
      <c r="I66" s="69"/>
      <c r="J66" s="35" t="str">
        <f>VLOOKUP(4,AD62:AN65,2,FALSE)</f>
        <v>Argentina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2 - 8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9</v>
      </c>
      <c r="AL66" s="123">
        <f>MIN(AL62:AL65)</f>
        <v>-6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90000011.12044026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Qatar</v>
      </c>
      <c r="BM66" s="61">
        <v>0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3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Norway_win</v>
      </c>
      <c r="T67" s="127" t="str">
        <f t="shared" si="20"/>
        <v>France_lose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1</v>
      </c>
      <c r="BK67" s="132"/>
      <c r="BL67" s="26" t="str">
        <f>IF(group_round_completed,VLOOKUP('3rd places'!E3,AK80:AS91,9,FALSE),"3rd Group E/F/G/I/J")</f>
        <v>Austria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4</v>
      </c>
      <c r="G68" s="20">
        <v>2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0</v>
      </c>
      <c r="AH68" s="123">
        <f>COUNTIF($S$7:$T$78,"=" &amp; AE68 &amp; "_lose")</f>
        <v>1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6</v>
      </c>
      <c r="AL68" s="123">
        <f>AI68-AJ68</f>
        <v>3</v>
      </c>
      <c r="AM68" s="123">
        <f>AL68-AL72</f>
        <v>5</v>
      </c>
      <c r="AN68" s="123">
        <f>AF68*3+AG68</f>
        <v>6</v>
      </c>
      <c r="AO68" s="123">
        <f>AN68/AN72*10+BA68</f>
        <v>8.5714285714285712</v>
      </c>
      <c r="AP68" s="123">
        <f>AO68*10000000+BI68*100+AM68/AM72*10+AI68/AI72*1++IF(AQ68=0,ROW(),AQ68)/2000000</f>
        <v>85714294.948500961</v>
      </c>
      <c r="AQ68" s="126">
        <f>VLOOKUP(AE68,db_fifarank,2,FALSE)</f>
        <v>1763.83</v>
      </c>
      <c r="AR68" s="125">
        <f>AP68/AP72</f>
        <v>0.9999999883333347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Austria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Norway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3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0</v>
      </c>
      <c r="N69" s="31">
        <f>VLOOKUP(1,AD68:AN71,5,FALSE)</f>
        <v>1</v>
      </c>
      <c r="O69" s="31" t="str">
        <f>VLOOKUP(1,AD68:AN71,6,FALSE) &amp; " - " &amp; VLOOKUP(1,AD68:AN71,7,FALSE)</f>
        <v>9 - 6</v>
      </c>
      <c r="P69" s="32">
        <f>L69*3+M69</f>
        <v>6</v>
      </c>
      <c r="R69" s="123">
        <f>DATE(2026,6,26)+TIME(16,0,0)+gmt_delta</f>
        <v>46200.125</v>
      </c>
      <c r="S69" s="127" t="str">
        <f t="shared" si="19"/>
        <v>Egypt_lose</v>
      </c>
      <c r="T69" s="127" t="str">
        <f t="shared" si="20"/>
        <v>Iran_win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-1</v>
      </c>
      <c r="AD69" s="123">
        <f>COUNTIF(AR68:AR71,CONCATENATE("&gt;=",AR69))</f>
        <v>2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1</v>
      </c>
      <c r="AH69" s="123">
        <f>COUNTIF($S$7:$T$78,"=" &amp; AE69 &amp; "_lose")</f>
        <v>1</v>
      </c>
      <c r="AI69" s="123">
        <f>SUMIF($E$7:$E$78,$AE69,$F$7:$F$78) + SUMIF($H$7:$H$78,$AE69,$G$7:$G$78)</f>
        <v>6</v>
      </c>
      <c r="AJ69" s="123">
        <f>SUMIF($E$7:$E$78,$AE69,$G$7:$G$78) + SUMIF($H$7:$H$78,$AE69,$F$7:$F$78)</f>
        <v>6</v>
      </c>
      <c r="AL69" s="123">
        <f>AI69-AJ69</f>
        <v>0</v>
      </c>
      <c r="AM69" s="123">
        <f>AL69-AL72</f>
        <v>2</v>
      </c>
      <c r="AN69" s="123">
        <f>AF69*3+AG69</f>
        <v>4</v>
      </c>
      <c r="AO69" s="123">
        <f>AN69/AN72*10+BA69</f>
        <v>6.6949308755760359</v>
      </c>
      <c r="AP69" s="123">
        <f>AO69*10000000+BI69*100+AM69/AM72*10+AI69/AI72*1++IF(AQ69=0,ROW(),AQ69)/2000000</f>
        <v>66949410.754348993</v>
      </c>
      <c r="AQ69" s="126">
        <f>VLOOKUP(AE69,db_fifarank,2,FALSE)</f>
        <v>1478.35</v>
      </c>
      <c r="AR69" s="125">
        <f>AP69/AP72</f>
        <v>0.78107636554086235</v>
      </c>
      <c r="AS69" s="125" t="str">
        <f>IF(SUM(AF68:AH71)=12,J70,"2K")</f>
        <v>DR Congo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2</v>
      </c>
      <c r="AW69" s="126" cm="1">
        <f t="array" ref="AW69">SUMPRODUCT(($E$7:$E$78=AE69)*($U$7:$U$78)*($G$7:$G$78))+SUMPRODUCT(($H$7:$H$78=AE69)*($U$7:$U$78)*($F$7:$F$78))</f>
        <v>2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50.666666666666664</v>
      </c>
      <c r="BA69" s="126">
        <f>AZ69/AZ72</f>
        <v>0.98064516129032253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2</v>
      </c>
      <c r="BE69" s="126" cm="1">
        <f t="array" ref="BE69">SUMPRODUCT(($E$7:$E$78=AE69)*($X$7:$X$78)*($G$7:$G$78))+SUMPRODUCT(($H$7:$H$78=AE69)*($X$7:$X$78)*($F$7:$F$78))</f>
        <v>2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50.666666666666664</v>
      </c>
      <c r="BI69" s="126">
        <f>BH69/BH72</f>
        <v>0.98064516129032253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1</v>
      </c>
      <c r="G70" s="20">
        <v>4</v>
      </c>
      <c r="H70" s="80" t="str">
        <f>AE44</f>
        <v>Belgium</v>
      </c>
      <c r="I70" s="69"/>
      <c r="J70" s="33" t="str">
        <f>VLOOKUP(2,AD68:AN71,2,FALSE)</f>
        <v>DR Congo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6 - 6</v>
      </c>
      <c r="P70" s="34">
        <f>L70*3+M70</f>
        <v>4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1</v>
      </c>
      <c r="AH70" s="123">
        <f>COUNTIF($S$7:$T$78,"=" &amp; AE70 &amp; "_lose")</f>
        <v>1</v>
      </c>
      <c r="AI70" s="123">
        <f>SUMIF($E$7:$E$78,$AE70,$F$7:$F$78) + SUMIF($H$7:$H$78,$AE70,$G$7:$G$78)</f>
        <v>7</v>
      </c>
      <c r="AJ70" s="123">
        <f>SUMIF($E$7:$E$78,$AE70,$G$7:$G$78) + SUMIF($H$7:$H$78,$AE70,$F$7:$F$78)</f>
        <v>8</v>
      </c>
      <c r="AL70" s="123">
        <f>AI70-AJ70</f>
        <v>-1</v>
      </c>
      <c r="AM70" s="123">
        <f>AL70-AL72</f>
        <v>1</v>
      </c>
      <c r="AN70" s="123">
        <f>AF70*3+AG70</f>
        <v>4</v>
      </c>
      <c r="AO70" s="123">
        <f>AN70/AN72*10+BA70</f>
        <v>6.6949308755760359</v>
      </c>
      <c r="AP70" s="123">
        <f>AO70*10000000+BI70*100+AM70/AM72*10+AI70/AI72*1++IF(AQ70=0,ROW(),AQ70)/2000000</f>
        <v>66949409.187675819</v>
      </c>
      <c r="AQ70" s="126">
        <f>VLOOKUP(AE70,db_fifarank,2,FALSE)</f>
        <v>1465.34</v>
      </c>
      <c r="AR70" s="125">
        <f>AP70/AP72</f>
        <v>0.78107634726301078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2</v>
      </c>
      <c r="AW70" s="126" cm="1">
        <f t="array" ref="AW70">SUMPRODUCT(($E$7:$E$78=AE70)*($U$7:$U$78)*($G$7:$G$78))+SUMPRODUCT(($H$7:$H$78=AE70)*($U$7:$U$78)*($F$7:$F$78))</f>
        <v>2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50.666666666666664</v>
      </c>
      <c r="BA70" s="126">
        <f>AZ70/AZ72</f>
        <v>0.98064516129032253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2</v>
      </c>
      <c r="BE70" s="126" cm="1">
        <f t="array" ref="BE70">SUMPRODUCT(($E$7:$E$78=AE70)*($X$7:$X$78)*($G$7:$G$78))+SUMPRODUCT(($H$7:$H$78=AE70)*($X$7:$X$78)*($F$7:$F$78))</f>
        <v>2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50.666666666666664</v>
      </c>
      <c r="BI70" s="126">
        <f>BH70/BH72</f>
        <v>0.98064516129032253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3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1</v>
      </c>
      <c r="N71" s="23">
        <f>VLOOKUP(3,AD68:AN71,5,FALSE)</f>
        <v>1</v>
      </c>
      <c r="O71" s="23" t="str">
        <f>VLOOKUP(3,AD68:AN71,6,FALSE) &amp; " - " &amp; VLOOKUP(3,AD68:AN71,7,FALSE)</f>
        <v>7 - 8</v>
      </c>
      <c r="P71" s="34">
        <f>L71*3+M71</f>
        <v>4</v>
      </c>
      <c r="R71" s="123">
        <f>DATE(2026,6,26)+TIME(13,0,0)+gmt_delta</f>
        <v>46200</v>
      </c>
      <c r="S71" s="127" t="str">
        <f t="shared" si="19"/>
        <v>Cape Verde_win</v>
      </c>
      <c r="T71" s="127" t="str">
        <f t="shared" si="20"/>
        <v>Saudi Arabia_lose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1</v>
      </c>
      <c r="AD71" s="123">
        <f>COUNTIF(AR68:AR71,CONCATENATE("&gt;=",AR71))</f>
        <v>4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0</v>
      </c>
      <c r="AH71" s="123">
        <f>COUNTIF($S$7:$T$78,"=" &amp; AE71 &amp; "_lose")</f>
        <v>2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8</v>
      </c>
      <c r="AL71" s="123">
        <f>AI71-AJ71</f>
        <v>-2</v>
      </c>
      <c r="AM71" s="123">
        <f>AL71-AL72</f>
        <v>0</v>
      </c>
      <c r="AN71" s="123">
        <f>AF71*3+AG71</f>
        <v>3</v>
      </c>
      <c r="AO71" s="123">
        <f>AN71/AN72*10+BA71</f>
        <v>4.2857142857142856</v>
      </c>
      <c r="AP71" s="123">
        <f>AO71*10000000+BI71*100+AM71/AM72*10+AI71/AI72*1++IF(AQ71=0,ROW(),AQ71)/2000000</f>
        <v>42857143.457989402</v>
      </c>
      <c r="AQ71" s="126">
        <f>VLOOKUP(AE71,db_fifarank,2,FALSE)</f>
        <v>1693.09</v>
      </c>
      <c r="AR71" s="125">
        <f>AP71/AP72</f>
        <v>0.49999994731029374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4</v>
      </c>
      <c r="G72" s="20">
        <v>2</v>
      </c>
      <c r="H72" s="80" t="str">
        <f>AE50</f>
        <v>Spain</v>
      </c>
      <c r="I72" s="69"/>
      <c r="J72" s="35" t="str">
        <f>VLOOKUP(4,AD68:AN71,2,FALSE)</f>
        <v>Colombia</v>
      </c>
      <c r="K72" s="36">
        <f>L72+M72+N72</f>
        <v>3</v>
      </c>
      <c r="L72" s="36">
        <f>VLOOKUP(4,AD68:AN71,3,FALSE)</f>
        <v>1</v>
      </c>
      <c r="M72" s="36">
        <f>VLOOKUP(4,AD68:AN71,4,FALSE)</f>
        <v>0</v>
      </c>
      <c r="N72" s="36">
        <f>VLOOKUP(4,AD68:AN71,5,FALSE)</f>
        <v>2</v>
      </c>
      <c r="O72" s="36" t="str">
        <f>VLOOKUP(4,AD68:AN71,6,FALSE) &amp; " - " &amp; VLOOKUP(4,AD68:AN71,7,FALSE)</f>
        <v>6 - 8</v>
      </c>
      <c r="P72" s="37">
        <f>L72*3+M72</f>
        <v>3</v>
      </c>
      <c r="R72" s="123">
        <f>DATE(2026,6,26)+TIME(13,0,0)+gmt_delta</f>
        <v>46200</v>
      </c>
      <c r="S72" s="127" t="str">
        <f t="shared" si="19"/>
        <v>Uruguay_win</v>
      </c>
      <c r="T72" s="127" t="str">
        <f t="shared" si="20"/>
        <v>Spain_lose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1</v>
      </c>
      <c r="AF72" s="123">
        <f t="shared" ref="AF72:AH72" si="35">MAX(AF68:AF71)-MIN(AF68:AF71)+1</f>
        <v>2</v>
      </c>
      <c r="AG72" s="123">
        <f t="shared" si="35"/>
        <v>2</v>
      </c>
      <c r="AH72" s="123">
        <f t="shared" si="35"/>
        <v>2</v>
      </c>
      <c r="AI72" s="123">
        <f>MAX(AI68:AI71)+1</f>
        <v>10</v>
      </c>
      <c r="AL72" s="123">
        <f>MIN(AL68:AL71)</f>
        <v>-2</v>
      </c>
      <c r="AM72" s="123">
        <f>MAX(AM68:AM71)+1</f>
        <v>6</v>
      </c>
      <c r="AN72" s="123">
        <f>MAX(AN68:AN71)+1</f>
        <v>7</v>
      </c>
      <c r="AO72" s="123">
        <f>MAX(AO68:AO71)+1</f>
        <v>9.5714285714285712</v>
      </c>
      <c r="AP72" s="123">
        <f>MAX(AP68:AP71)+1</f>
        <v>85714295.948500961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51.666666666666664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51.666666666666664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1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1</v>
      </c>
      <c r="G74" s="20">
        <v>4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Croatia_lose</v>
      </c>
      <c r="T74" s="127" t="str">
        <f t="shared" si="20"/>
        <v>Ghana_win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-1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3</v>
      </c>
      <c r="AL74" s="123">
        <f>AI74-AJ74</f>
        <v>4</v>
      </c>
      <c r="AM74" s="123">
        <f>AL74-AL78</f>
        <v>10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90000009.869599849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2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7 - 3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Algeria_win</v>
      </c>
      <c r="T75" s="127" t="str">
        <f t="shared" si="20"/>
        <v>Austria_lose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1</v>
      </c>
      <c r="AD75" s="123">
        <f>COUNTIF(AR74:AR77,CONCATENATE("&gt;=",AR75))</f>
        <v>4</v>
      </c>
      <c r="AE75" s="124" t="str">
        <f>VLOOKUP("Croatia",T,lang,FALSE)</f>
        <v>Croatia</v>
      </c>
      <c r="AF75" s="123">
        <f>COUNTIF($S$7:$T$78,"=" &amp; AE75 &amp; "_win")</f>
        <v>0</v>
      </c>
      <c r="AG75" s="123">
        <f>COUNTIF($S$7:$T$78,"=" &amp; AE75 &amp; "_draw")</f>
        <v>0</v>
      </c>
      <c r="AH75" s="123">
        <f>COUNTIF($S$7:$T$78,"=" &amp; AE75 &amp; "_lose")</f>
        <v>3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9</v>
      </c>
      <c r="AL75" s="123">
        <f>AI75-AJ75</f>
        <v>-6</v>
      </c>
      <c r="AM75" s="123">
        <f>AL75-AL78</f>
        <v>0</v>
      </c>
      <c r="AN75" s="123">
        <f>AF75*3+AG75</f>
        <v>0</v>
      </c>
      <c r="AO75" s="123">
        <f>AN75/AN78*10+BA75</f>
        <v>0</v>
      </c>
      <c r="AP75" s="123">
        <f>AO75*10000000+BI75*100+AM75/AM78*10+AI75/AI78*1++IF(AQ75=0,ROW(),AQ75)/2000000</f>
        <v>0.33419186833333331</v>
      </c>
      <c r="AQ75" s="126">
        <f>VLOOKUP(AE75,db_fifarank,2,FALSE)</f>
        <v>1717.07</v>
      </c>
      <c r="AR75" s="125">
        <f>AP75/AP78</f>
        <v>3.7132425330208092E-9</v>
      </c>
      <c r="AS75" s="125" t="str">
        <f>IF(SUM(AF74:AH77)=12,J76,"2L")</f>
        <v>Panama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3</v>
      </c>
      <c r="G76" s="20">
        <v>1</v>
      </c>
      <c r="H76" s="80" t="str">
        <f>AE62</f>
        <v>Argentina</v>
      </c>
      <c r="I76" s="69"/>
      <c r="J76" s="33" t="str">
        <f>VLOOKUP(2,AD74:AN77,2,FALSE)</f>
        <v>Panama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8 - 5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Jordan_win</v>
      </c>
      <c r="T76" s="127" t="str">
        <f t="shared" si="20"/>
        <v>Argentina_lose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6</v>
      </c>
      <c r="AJ76" s="123">
        <f>SUMIF($E$7:$E$78,$AE76,$G$7:$G$78) + SUMIF($H$7:$H$78,$AE76,$F$7:$F$78)</f>
        <v>7</v>
      </c>
      <c r="AL76" s="123">
        <f>AI76-AJ76</f>
        <v>-1</v>
      </c>
      <c r="AM76" s="123">
        <f>AL76-AL78</f>
        <v>5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30000005.212794371</v>
      </c>
      <c r="AQ76" s="126">
        <f>VLOOKUP(AE76,db_fifarank,2,FALSE)</f>
        <v>1346.31</v>
      </c>
      <c r="AR76" s="125">
        <f>AP76/AP78</f>
        <v>0.33333335099549144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3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6 - 7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Colombia_win</v>
      </c>
      <c r="T77" s="127" t="str">
        <f t="shared" si="20"/>
        <v>Portugal_lose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1</v>
      </c>
      <c r="AD77" s="123">
        <f>COUNTIF(AR74:AR77,CONCATENATE("&gt;=",AR77))</f>
        <v>2</v>
      </c>
      <c r="AE77" s="124" t="str">
        <f>VLOOKUP("Panama",T,lang,FALSE)</f>
        <v>Panama</v>
      </c>
      <c r="AF77" s="123">
        <f>COUNTIF($S$7:$T$78,"=" &amp; AE77 &amp; "_win")</f>
        <v>2</v>
      </c>
      <c r="AG77" s="123">
        <f>COUNTIF($S$7:$T$78,"=" &amp; AE77 &amp; "_draw")</f>
        <v>0</v>
      </c>
      <c r="AH77" s="123">
        <f>COUNTIF($S$7:$T$78,"=" &amp; AE77 &amp; "_lose")</f>
        <v>1</v>
      </c>
      <c r="AI77" s="123">
        <f>SUMIF($E$7:$E$78,$AE77,$F$7:$F$78) + SUMIF($H$7:$H$78,$AE77,$G$7:$G$78)</f>
        <v>8</v>
      </c>
      <c r="AJ77" s="123">
        <f>SUMIF($E$7:$E$78,$AE77,$G$7:$G$78) + SUMIF($H$7:$H$78,$AE77,$F$7:$F$78)</f>
        <v>5</v>
      </c>
      <c r="AL77" s="123">
        <f>AI77-AJ77</f>
        <v>3</v>
      </c>
      <c r="AM77" s="123">
        <f>AL77-AL78</f>
        <v>9</v>
      </c>
      <c r="AN77" s="123">
        <f>AF77*3+AG77</f>
        <v>6</v>
      </c>
      <c r="AO77" s="123">
        <f>AN77/AN78*10+BA77</f>
        <v>6</v>
      </c>
      <c r="AP77" s="123">
        <f>AO77*10000000+BI77*100+AM77/AM78*10+AI77/AI78*1++IF(AQ77=0,ROW(),AQ77)/2000000</f>
        <v>60000009.071477391</v>
      </c>
      <c r="AQ77" s="126">
        <f>VLOOKUP(AE77,db_fifarank,2,FALSE)</f>
        <v>1540.64</v>
      </c>
      <c r="AR77" s="125">
        <f>AP77/AP78</f>
        <v>0.66666668694530307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2</v>
      </c>
      <c r="G78" s="20">
        <v>2</v>
      </c>
      <c r="H78" s="80" t="str">
        <f>AE70</f>
        <v>Uzbekistan</v>
      </c>
      <c r="I78" s="69"/>
      <c r="J78" s="35" t="str">
        <f>VLOOKUP(4,AD74:AN77,2,FALSE)</f>
        <v>Croatia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3 - 9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2</v>
      </c>
      <c r="W78" s="123">
        <f t="shared" si="22"/>
        <v>2</v>
      </c>
      <c r="X78" s="123">
        <f t="shared" si="32"/>
        <v>1</v>
      </c>
      <c r="Y78" s="123">
        <f t="shared" si="33"/>
        <v>2</v>
      </c>
      <c r="Z78" s="123">
        <f t="shared" si="34"/>
        <v>2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9</v>
      </c>
      <c r="AL78" s="123">
        <f>MIN(AL74:AL77)</f>
        <v>-6</v>
      </c>
      <c r="AM78" s="123">
        <f>MAX(AM74:AM77)+1</f>
        <v>11</v>
      </c>
      <c r="AN78" s="123">
        <f>MAX(AN74:AN77)+1</f>
        <v>10</v>
      </c>
      <c r="AO78" s="123">
        <f>MAX(AO74:AO77)+1</f>
        <v>10</v>
      </c>
      <c r="AP78" s="123">
        <f>MAX(AP74:AP77)+1</f>
        <v>90000010.869599849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8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5</v>
      </c>
      <c r="AJ80" s="123">
        <f>VLOOKUP($AE80,$AE$8:$AQ$78,6,FALSE)</f>
        <v>6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4841.2705919598411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Ⓑ Canada</v>
      </c>
      <c r="K81" s="97">
        <f>L81+M81+N81</f>
        <v>3</v>
      </c>
      <c r="L81" s="97">
        <f>VLOOKUP(1,$AD$80:$AN$91,3,FALSE)</f>
        <v>2</v>
      </c>
      <c r="M81" s="97">
        <f>VLOOKUP(1,$AD$80:$AN$91,4,FALSE)</f>
        <v>0</v>
      </c>
      <c r="N81" s="97">
        <f>VLOOKUP(1,$AD$80:$AN$91,5,FALSE)</f>
        <v>1</v>
      </c>
      <c r="O81" s="97" t="str">
        <f>VLOOKUP(1,$AD$80:$AN$91,6,FALSE) &amp; " - " &amp; VLOOKUP(1,$AD$80:$AN$91,7,FALSE)</f>
        <v>8 - 7</v>
      </c>
      <c r="P81" s="98">
        <f>L81*3+M81</f>
        <v>6</v>
      </c>
      <c r="AD81" s="123">
        <f t="shared" ref="AD81:AD91" si="38">COUNTIF($AP$80:$AP$91,CONCATENATE("&gt;=",AP81))</f>
        <v>1</v>
      </c>
      <c r="AE81" s="124" t="str">
        <f>J17</f>
        <v>Canada</v>
      </c>
      <c r="AF81" s="123">
        <f t="shared" ref="AF81:AF91" si="39">VLOOKUP($AE81,$AE$8:$AQ$78,2,FALSE)</f>
        <v>2</v>
      </c>
      <c r="AG81" s="123">
        <f>VLOOKUP($AE81,$AE$8:$AQ$78,3,FALSE)</f>
        <v>0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8</v>
      </c>
      <c r="AJ81" s="123">
        <f t="shared" ref="AJ81:AJ90" si="42">VLOOKUP($AE81,$AE$8:$AQ$78,6,FALSE)</f>
        <v>7</v>
      </c>
      <c r="AK81" s="123" t="s">
        <v>3181</v>
      </c>
      <c r="AL81" s="123">
        <f t="shared" ref="AL81:AL90" si="43">VLOOKUP($AE81,$AE$8:$AQ$78,8,FALSE)</f>
        <v>1</v>
      </c>
      <c r="AM81" s="123">
        <f t="shared" ref="AM81:AM91" si="44">AL81-$AL$92</f>
        <v>5</v>
      </c>
      <c r="AN81" s="123">
        <f t="shared" ref="AN81:AN90" si="45">VLOOKUP($AE81,$AE$8:$AQ$78,10,FALSE)</f>
        <v>6</v>
      </c>
      <c r="AP81" s="123">
        <f>AN81/AN92*10000+AM81/AM92*1000+AI81/AI92*100+IF(AQ81=0,ROW(),AQ81)/2000000</f>
        <v>9493.651571890794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Ⓚ Uzbekistan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7 - 8</v>
      </c>
      <c r="P82" s="101">
        <f t="shared" ref="P82:P92" si="48">L82*3+M82</f>
        <v>4</v>
      </c>
      <c r="AD82" s="123">
        <f t="shared" si="38"/>
        <v>11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8</v>
      </c>
      <c r="AK82" s="123" t="s">
        <v>3182</v>
      </c>
      <c r="AL82" s="123">
        <f t="shared" si="43"/>
        <v>-3</v>
      </c>
      <c r="AM82" s="123">
        <f t="shared" si="44"/>
        <v>1</v>
      </c>
      <c r="AN82" s="123">
        <f t="shared" si="45"/>
        <v>3</v>
      </c>
      <c r="AP82" s="123">
        <f>AN82/AN92*10000+AM82/AM92*1000+AI82/AI92*100+IF(AQ82=0,ROW(),AQ82)/2000000</f>
        <v>4507.9372571115082</v>
      </c>
      <c r="AQ82" s="126">
        <f t="shared" si="37"/>
        <v>1498.35</v>
      </c>
      <c r="AR82" s="125" t="str">
        <f t="shared" ref="AR82:AR91" si="50">AR81&amp;IF(AD82&lt;=8,RIGHT(AK82,1),"")</f>
        <v>AB</v>
      </c>
      <c r="AS82" s="129" t="str">
        <f t="shared" si="46"/>
        <v/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Ⓛ Ghana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6 - 7</v>
      </c>
      <c r="P83" s="101">
        <f t="shared" si="48"/>
        <v>3</v>
      </c>
      <c r="AD83" s="123">
        <f t="shared" si="38"/>
        <v>9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7</v>
      </c>
      <c r="AJ83" s="123">
        <f t="shared" si="42"/>
        <v>9</v>
      </c>
      <c r="AK83" s="123" t="s">
        <v>3184</v>
      </c>
      <c r="AL83" s="123">
        <f t="shared" si="43"/>
        <v>-2</v>
      </c>
      <c r="AM83" s="123">
        <f t="shared" si="44"/>
        <v>2</v>
      </c>
      <c r="AN83" s="123">
        <f t="shared" si="45"/>
        <v>3</v>
      </c>
      <c r="AP83" s="123">
        <f>AN83/AN92*10000+AM83/AM92*1000+AI83/AI92*100+IF(AQ83=0,ROW(),AQ83)/2000000</f>
        <v>4696.8261485753956</v>
      </c>
      <c r="AQ83" s="126">
        <f t="shared" si="37"/>
        <v>1503.5</v>
      </c>
      <c r="AR83" s="125" t="str">
        <f t="shared" si="50"/>
        <v>AB</v>
      </c>
      <c r="AS83" s="129" t="str">
        <f t="shared" si="46"/>
        <v/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Ⓘ France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5 - 6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Ecuador</v>
      </c>
      <c r="T84" s="127" t="str" cm="1">
        <f t="array" ref="T84">IF(OR(S84="",S84="draw"),INDEX(T,86,lang),S84)</f>
        <v>Ecuador</v>
      </c>
      <c r="AD84" s="123">
        <f t="shared" si="38"/>
        <v>7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5</v>
      </c>
      <c r="AJ84" s="123">
        <f t="shared" si="42"/>
        <v>6</v>
      </c>
      <c r="AK84" s="123" t="s">
        <v>3185</v>
      </c>
      <c r="AL84" s="123">
        <f t="shared" si="43"/>
        <v>-1</v>
      </c>
      <c r="AM84" s="123">
        <f t="shared" si="44"/>
        <v>3</v>
      </c>
      <c r="AN84" s="123">
        <f t="shared" si="45"/>
        <v>3</v>
      </c>
      <c r="AP84" s="123">
        <f>AN84/AN92*10000+AM84/AM92*1000+AI84/AI92*100+IF(AQ84=0,ROW(),AQ84)/2000000</f>
        <v>4841.2706077598414</v>
      </c>
      <c r="AQ84" s="126">
        <f t="shared" si="37"/>
        <v>1532.98</v>
      </c>
      <c r="AR84" s="125" t="str">
        <f t="shared" si="50"/>
        <v>ABE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Ⓙ Austria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5 - 6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Norway</v>
      </c>
      <c r="T85" s="127" t="str" cm="1">
        <f t="array" ref="T85">IF(OR(S85="",S85="draw"),INDEX(T,87,lang),S85)</f>
        <v>Norway</v>
      </c>
      <c r="AD85" s="123">
        <f t="shared" si="38"/>
        <v>10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5</v>
      </c>
      <c r="AJ85" s="123">
        <f t="shared" si="42"/>
        <v>7</v>
      </c>
      <c r="AK85" s="123" t="s">
        <v>3186</v>
      </c>
      <c r="AL85" s="123">
        <f t="shared" si="43"/>
        <v>-2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4674.6039319881738</v>
      </c>
      <c r="AQ85" s="126">
        <f t="shared" si="37"/>
        <v>1514.77</v>
      </c>
      <c r="AR85" s="125" t="str">
        <f t="shared" si="50"/>
        <v>ABE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Ⓖ Egypt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5 - 6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Panama</v>
      </c>
      <c r="T86" s="127" t="str" cm="1">
        <f t="array" ref="T86">IF(OR(S86="",S86="draw"),INDEX(T,88,lang),S86)</f>
        <v>Panama</v>
      </c>
      <c r="AD86" s="123">
        <f t="shared" si="38"/>
        <v>6</v>
      </c>
      <c r="AE86" s="124" t="str">
        <f>J47</f>
        <v>Egypt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5</v>
      </c>
      <c r="AJ86" s="123">
        <f t="shared" si="42"/>
        <v>6</v>
      </c>
      <c r="AK86" s="123" t="s">
        <v>3187</v>
      </c>
      <c r="AL86" s="123">
        <f t="shared" si="43"/>
        <v>-1</v>
      </c>
      <c r="AM86" s="123">
        <f t="shared" si="44"/>
        <v>3</v>
      </c>
      <c r="AN86" s="123">
        <f t="shared" si="45"/>
        <v>3</v>
      </c>
      <c r="AP86" s="123">
        <f>AN86/AN92*10000+AM86/AM92*1000+AI86/AI92*100+IF(AQ86=0,ROW(),AQ86)/2000000</f>
        <v>4841.2706228898414</v>
      </c>
      <c r="AQ86" s="126">
        <f t="shared" si="37"/>
        <v>1563.24</v>
      </c>
      <c r="AR86" s="125" t="str">
        <f t="shared" si="50"/>
        <v>ABEG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Ⓔ Ivory Coast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5 - 6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Cape Verde</v>
      </c>
      <c r="T87" s="127" t="str" cm="1">
        <f t="array" ref="T87">IF(OR(S87="",S87="draw"),INDEX(T,89,lang),S87)</f>
        <v>Cape Verde</v>
      </c>
      <c r="AD87" s="123">
        <f t="shared" si="38"/>
        <v>12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7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4319.0483297626188</v>
      </c>
      <c r="AQ87" s="126">
        <f t="shared" si="37"/>
        <v>1421.43</v>
      </c>
      <c r="AR87" s="125" t="str">
        <f t="shared" si="50"/>
        <v>ABEG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Ⓐ Czech Republic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5 - 6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38"/>
        <v>4</v>
      </c>
      <c r="AE88" s="124" t="str">
        <f>J59</f>
        <v>France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5</v>
      </c>
      <c r="AJ88" s="123">
        <f t="shared" si="42"/>
        <v>6</v>
      </c>
      <c r="AK88" s="123" t="s">
        <v>3189</v>
      </c>
      <c r="AL88" s="123">
        <f t="shared" si="43"/>
        <v>-1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4841.2707799298414</v>
      </c>
      <c r="AQ88" s="126">
        <f t="shared" si="37"/>
        <v>1877.32</v>
      </c>
      <c r="AR88" s="125" t="str">
        <f t="shared" si="50"/>
        <v>ABEGI</v>
      </c>
      <c r="AS88" s="129" t="str">
        <f t="shared" si="46"/>
        <v>France</v>
      </c>
      <c r="AT88" s="130" t="str">
        <f>"Ⓘ "&amp;AE88</f>
        <v>Ⓘ France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Ⓓ Paraguay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7 - 9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5</v>
      </c>
      <c r="AE89" s="124" t="str">
        <f>J65</f>
        <v>Austria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5</v>
      </c>
      <c r="AJ89" s="123">
        <f t="shared" si="42"/>
        <v>6</v>
      </c>
      <c r="AK89" s="123" t="s">
        <v>3190</v>
      </c>
      <c r="AL89" s="123">
        <f t="shared" si="43"/>
        <v>-1</v>
      </c>
      <c r="AM89" s="123">
        <f t="shared" si="44"/>
        <v>3</v>
      </c>
      <c r="AN89" s="123">
        <f t="shared" si="45"/>
        <v>3</v>
      </c>
      <c r="AP89" s="123">
        <f>AN89/AN92*10000+AM89/AM92*1000+AI89/AI92*100+IF(AQ89=0,ROW(),AQ89)/2000000</f>
        <v>4841.2706379948413</v>
      </c>
      <c r="AQ89" s="126">
        <f t="shared" si="37"/>
        <v>1593.45</v>
      </c>
      <c r="AR89" s="125" t="str">
        <f t="shared" si="50"/>
        <v>ABEGIJ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Ⓕ Sweden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5 - 7</v>
      </c>
      <c r="P90" s="104">
        <f t="shared" si="48"/>
        <v>3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Canada</v>
      </c>
      <c r="T90" s="127" t="str" cm="1">
        <f t="array" ref="T90">IF(OR(S90="",S90="draw"),INDEX(T,92,lang),S90)</f>
        <v>Canada</v>
      </c>
      <c r="AD90" s="123">
        <f t="shared" si="38"/>
        <v>2</v>
      </c>
      <c r="AE90" s="124" t="str">
        <f>J71</f>
        <v>Uzbekistan</v>
      </c>
      <c r="AF90" s="123">
        <f t="shared" si="39"/>
        <v>1</v>
      </c>
      <c r="AG90" s="123">
        <f t="shared" si="49"/>
        <v>1</v>
      </c>
      <c r="AH90" s="123">
        <f t="shared" si="40"/>
        <v>1</v>
      </c>
      <c r="AI90" s="123">
        <f t="shared" si="41"/>
        <v>7</v>
      </c>
      <c r="AJ90" s="123">
        <f t="shared" si="42"/>
        <v>8</v>
      </c>
      <c r="AK90" s="123" t="s">
        <v>3191</v>
      </c>
      <c r="AL90" s="123">
        <f t="shared" si="43"/>
        <v>-1</v>
      </c>
      <c r="AM90" s="123">
        <f t="shared" si="44"/>
        <v>3</v>
      </c>
      <c r="AN90" s="123">
        <f t="shared" si="45"/>
        <v>4</v>
      </c>
      <c r="AP90" s="123">
        <f>AN90/AN92*10000+AM90/AM92*1000+AI90/AI92*100+IF(AQ90=0,ROW(),AQ90)/2000000</f>
        <v>6292.0642247334908</v>
      </c>
      <c r="AQ90" s="126">
        <f t="shared" si="37"/>
        <v>1465.34</v>
      </c>
      <c r="AR90" s="125" t="str">
        <f t="shared" si="50"/>
        <v>ABEGIJK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Ⓒ Scotland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5 - 8</v>
      </c>
      <c r="P91" s="104">
        <f t="shared" si="48"/>
        <v>3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Iran</v>
      </c>
      <c r="T91" s="127" t="str" cm="1">
        <f t="array" ref="T91">IF(OR(S91="",S91="draw"),INDEX(T,93,lang),S91)</f>
        <v>Iran</v>
      </c>
      <c r="AD91" s="123">
        <f t="shared" si="38"/>
        <v>3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6</v>
      </c>
      <c r="AJ91" s="123">
        <f>VLOOKUP($AE91,$AE$8:$AQ$78,6,FALSE)</f>
        <v>7</v>
      </c>
      <c r="AK91" s="123" t="s">
        <v>3192</v>
      </c>
      <c r="AL91" s="123">
        <f>VLOOKUP($AE91,$AE$8:$AQ$78,8,FALSE)</f>
        <v>-1</v>
      </c>
      <c r="AM91" s="123">
        <f t="shared" si="44"/>
        <v>3</v>
      </c>
      <c r="AN91" s="123">
        <f>VLOOKUP($AE91,$AE$8:$AQ$78,10,FALSE)</f>
        <v>3</v>
      </c>
      <c r="AP91" s="123">
        <f>AN91/AN92*10000+AM91/AM92*1000+AI91/AI92*100+IF(AQ91=0,ROW(),AQ91)/2000000</f>
        <v>4852.3816255359525</v>
      </c>
      <c r="AQ91" s="126">
        <f t="shared" si="37"/>
        <v>1346.31</v>
      </c>
      <c r="AR91" s="125" t="str">
        <f t="shared" si="50"/>
        <v>ABEGIJKL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1</v>
      </c>
      <c r="M92" s="106">
        <f>VLOOKUP(12,$AD$80:$AN$91,4,FALSE)</f>
        <v>0</v>
      </c>
      <c r="N92" s="106">
        <f>VLOOKUP(12,$AD$80:$AN$91,5,FALSE)</f>
        <v>2</v>
      </c>
      <c r="O92" s="106" t="str">
        <f>VLOOKUP(12,$AD$80:$AN$91,6,FALSE) &amp; " - " &amp; VLOOKUP(12,$AD$80:$AN$91,7,FALSE)</f>
        <v>3 - 7</v>
      </c>
      <c r="P92" s="107">
        <f t="shared" si="48"/>
        <v>3</v>
      </c>
      <c r="AF92" s="123">
        <f>MAX(AF80:AF91)+1</f>
        <v>3</v>
      </c>
      <c r="AG92" s="123">
        <f>MAX(AG80:AG91)+1</f>
        <v>2</v>
      </c>
      <c r="AH92" s="123">
        <f>MAX(AH80:AH91)+1</f>
        <v>3</v>
      </c>
      <c r="AI92" s="123">
        <f>MAX(AI80:AI91)+1</f>
        <v>9</v>
      </c>
      <c r="AJ92" s="123">
        <f>MAX(AJ80:AJ91)+1</f>
        <v>10</v>
      </c>
      <c r="AL92" s="123">
        <f>MIN(AL80:AL91)</f>
        <v>-4</v>
      </c>
      <c r="AM92" s="123">
        <f>MAX(AM80:AM91)+1</f>
        <v>6</v>
      </c>
      <c r="AN92" s="123">
        <f>MAX(AN80:AN91)+1</f>
        <v>7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Norway</v>
      </c>
      <c r="T95" s="127" t="str" cm="1">
        <f t="array" ref="T95">IF(OR(S95="",S95="draw"),INDEX(T,94,lang),S95)</f>
        <v>Norway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Cape Verde</v>
      </c>
      <c r="T97" s="127" t="str" cm="1">
        <f t="array" ref="T97">IF(OR(S97="",S97="draw"),INDEX(T,96,lang),S97)</f>
        <v>Cape Verde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Iran</v>
      </c>
      <c r="T98" s="127" t="str" cm="1">
        <f t="array" ref="T98">IF(OR(S98="",S98="draw"),INDEX(T,97,lang),S98)</f>
        <v>Iran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Norway</v>
      </c>
      <c r="T102" s="127" t="str" cm="1">
        <f t="array" ref="T102">IF(OR(S102="",S102="draw"),INDEX(T,98,lang),S102)</f>
        <v>Norway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Cape Verde</v>
      </c>
      <c r="T103" s="127" t="str" cm="1">
        <f t="array" ref="T103">IF(OR(S103="",S103="draw"),INDEX(T,99,lang),S103)</f>
        <v>Cape Verde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Iran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Iran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Norway</v>
      </c>
      <c r="T111" s="127" t="str">
        <f>S111</f>
        <v>Norway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294</v>
      </c>
      <c r="C3" s="121" t="str">
        <f>'2026 World Cup'!AR91</f>
        <v>ABEGIJKL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3A</v>
      </c>
      <c r="H3" s="121" t="str">
        <f>VLOOKUP($C3,$C$6:$K$500,6,FALSE)</f>
        <v>3I</v>
      </c>
      <c r="I3" s="121" t="str">
        <f>VLOOKUP($C3,$C$6:$K$500,7,FALSE)</f>
        <v>3G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Håvard Goodwin</cp:lastModifiedBy>
  <cp:revision/>
  <dcterms:created xsi:type="dcterms:W3CDTF">2017-12-27T19:32:51Z</dcterms:created>
  <dcterms:modified xsi:type="dcterms:W3CDTF">2026-05-23T14:41:47Z</dcterms:modified>
  <cp:category>Sports</cp:category>
  <cp:contentStatus/>
</cp:coreProperties>
</file>