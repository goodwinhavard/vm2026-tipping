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79d8f54f6e90f3/Desktop/"/>
    </mc:Choice>
  </mc:AlternateContent>
  <xr:revisionPtr revIDLastSave="0" documentId="8_{6DE35944-38AC-4590-B1DD-6C80572FD4E8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10" i="3" l="1"/>
  <c r="BP11" i="3" s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 s="1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S48" i="3"/>
  <c r="S43" i="3"/>
  <c r="S19" i="3"/>
  <c r="T19" i="3" s="1"/>
  <c r="S20" i="3"/>
  <c r="T20" i="3" s="1"/>
  <c r="S44" i="3"/>
  <c r="T44" i="3" s="1"/>
  <c r="S46" i="3"/>
  <c r="T46" i="3" s="1"/>
  <c r="S21" i="3"/>
  <c r="S45" i="3"/>
  <c r="T45" i="3" s="1"/>
  <c r="S18" i="3"/>
  <c r="T18" i="3" s="1"/>
  <c r="S63" i="3"/>
  <c r="T63" i="3" s="1"/>
  <c r="S17" i="3"/>
  <c r="T17" i="3" s="1"/>
  <c r="S41" i="3"/>
  <c r="S15" i="3"/>
  <c r="S61" i="3"/>
  <c r="S16" i="3"/>
  <c r="S39" i="3"/>
  <c r="S66" i="3"/>
  <c r="T66" i="3" s="1"/>
  <c r="S10" i="3"/>
  <c r="T10" i="3" s="1"/>
  <c r="S37" i="3"/>
  <c r="T37" i="3" s="1"/>
  <c r="S11" i="3"/>
  <c r="T11" i="3" s="1"/>
  <c r="S56" i="3"/>
  <c r="T56" i="3" s="1"/>
  <c r="S13" i="3"/>
  <c r="T13" i="3" s="1"/>
  <c r="S32" i="3"/>
  <c r="T32" i="3" s="1"/>
  <c r="S14" i="3"/>
  <c r="S8" i="3"/>
  <c r="S9" i="3"/>
  <c r="T9" i="3" s="1"/>
  <c r="S33" i="3"/>
  <c r="S60" i="3"/>
  <c r="S34" i="3"/>
  <c r="T34" i="3" s="1"/>
  <c r="S29" i="3"/>
  <c r="S53" i="3"/>
  <c r="T53" i="3" s="1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S50" i="3"/>
  <c r="S76" i="3"/>
  <c r="S47" i="3"/>
  <c r="S67" i="3"/>
  <c r="T23" i="3"/>
  <c r="T48" i="3"/>
  <c r="T43" i="3"/>
  <c r="S72" i="3"/>
  <c r="S70" i="3"/>
  <c r="T21" i="3"/>
  <c r="S42" i="3"/>
  <c r="S64" i="3"/>
  <c r="T41" i="3"/>
  <c r="S40" i="3"/>
  <c r="S62" i="3"/>
  <c r="T15" i="3"/>
  <c r="T61" i="3"/>
  <c r="T16" i="3"/>
  <c r="T39" i="3"/>
  <c r="S38" i="3"/>
  <c r="S65" i="3"/>
  <c r="S55" i="3"/>
  <c r="S57" i="3"/>
  <c r="T14" i="3"/>
  <c r="T8" i="3"/>
  <c r="T33" i="3"/>
  <c r="T60" i="3"/>
  <c r="T29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5" i="3" l="1"/>
  <c r="AR71" i="3"/>
  <c r="AR33" i="3"/>
  <c r="AR34" i="3"/>
  <c r="AR27" i="3"/>
  <c r="AR9" i="3"/>
  <c r="AR10" i="3"/>
  <c r="AR11" i="3"/>
  <c r="AD11" i="3" s="1"/>
  <c r="AR28" i="3"/>
  <c r="AR77" i="3"/>
  <c r="AD77" i="3" s="1"/>
  <c r="AR69" i="3"/>
  <c r="AR29" i="3"/>
  <c r="AD27" i="3" s="1"/>
  <c r="AR75" i="3"/>
  <c r="AR76" i="3"/>
  <c r="AR70" i="3"/>
  <c r="AR22" i="3"/>
  <c r="AR21" i="3"/>
  <c r="AR65" i="3"/>
  <c r="AR40" i="3"/>
  <c r="AR41" i="3"/>
  <c r="AR23" i="3"/>
  <c r="AR51" i="3"/>
  <c r="AR52" i="3"/>
  <c r="AR53" i="3"/>
  <c r="AD53" i="3" s="1"/>
  <c r="AR46" i="3"/>
  <c r="AR15" i="3"/>
  <c r="AR45" i="3"/>
  <c r="AR63" i="3"/>
  <c r="AR47" i="3"/>
  <c r="AR64" i="3"/>
  <c r="AR39" i="3"/>
  <c r="AD56" i="3"/>
  <c r="AR16" i="3"/>
  <c r="AR17" i="3"/>
  <c r="AD59" i="3"/>
  <c r="AD74" i="3"/>
  <c r="AD33" i="3" l="1"/>
  <c r="AD71" i="3"/>
  <c r="AD62" i="3"/>
  <c r="AD9" i="3"/>
  <c r="AD28" i="3"/>
  <c r="N58" i="3"/>
  <c r="AD10" i="3"/>
  <c r="AD39" i="3"/>
  <c r="AD8" i="3"/>
  <c r="L12" i="3" s="1"/>
  <c r="AD34" i="3"/>
  <c r="AD35" i="3"/>
  <c r="AD32" i="3"/>
  <c r="J33" i="3" s="1"/>
  <c r="AS32" i="3" s="1"/>
  <c r="BL10" i="3" s="1"/>
  <c r="AD26" i="3"/>
  <c r="AD68" i="3"/>
  <c r="M69" i="3" s="1"/>
  <c r="AD76" i="3"/>
  <c r="AD29" i="3"/>
  <c r="AD70" i="3"/>
  <c r="L59" i="3"/>
  <c r="AD63" i="3"/>
  <c r="AD75" i="3"/>
  <c r="O60" i="3"/>
  <c r="AD15" i="3"/>
  <c r="AD69" i="3"/>
  <c r="AD41" i="3"/>
  <c r="AD20" i="3"/>
  <c r="M59" i="3"/>
  <c r="L58" i="3"/>
  <c r="M58" i="3"/>
  <c r="AD22" i="3"/>
  <c r="AD21" i="3"/>
  <c r="AD47" i="3"/>
  <c r="AD14" i="3"/>
  <c r="AD44" i="3"/>
  <c r="L57" i="3"/>
  <c r="AD64" i="3"/>
  <c r="M63" i="3" s="1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J12" i="3"/>
  <c r="N11" i="3"/>
  <c r="M11" i="3"/>
  <c r="L30" i="3"/>
  <c r="O10" i="3" l="1"/>
  <c r="L10" i="3"/>
  <c r="J11" i="3"/>
  <c r="AE80" i="3" s="1"/>
  <c r="AQ80" i="3" s="1"/>
  <c r="O11" i="3"/>
  <c r="N10" i="3"/>
  <c r="L11" i="3"/>
  <c r="L9" i="3"/>
  <c r="N9" i="3"/>
  <c r="N12" i="3"/>
  <c r="L28" i="3"/>
  <c r="O9" i="3"/>
  <c r="L64" i="3"/>
  <c r="N36" i="3"/>
  <c r="M34" i="3"/>
  <c r="L35" i="3"/>
  <c r="L36" i="3"/>
  <c r="J35" i="3"/>
  <c r="AE84" i="3" s="1"/>
  <c r="AQ84" i="3" s="1"/>
  <c r="J39" i="3"/>
  <c r="AS38" i="3" s="1"/>
  <c r="BL22" i="3" s="1"/>
  <c r="N30" i="3"/>
  <c r="M35" i="3"/>
  <c r="P35" i="3" s="1"/>
  <c r="M33" i="3"/>
  <c r="P33" i="3" s="1"/>
  <c r="O33" i="3"/>
  <c r="N78" i="3"/>
  <c r="L65" i="3"/>
  <c r="L33" i="3"/>
  <c r="J34" i="3"/>
  <c r="AS33" i="3" s="1"/>
  <c r="BL46" i="3" s="1"/>
  <c r="M10" i="3"/>
  <c r="O12" i="3"/>
  <c r="L63" i="3"/>
  <c r="J36" i="3"/>
  <c r="O63" i="3"/>
  <c r="N63" i="3"/>
  <c r="K63" i="3" s="1"/>
  <c r="N34" i="3"/>
  <c r="O34" i="3"/>
  <c r="M12" i="3"/>
  <c r="P12" i="3" s="1"/>
  <c r="O36" i="3"/>
  <c r="J63" i="3"/>
  <c r="AS62" i="3" s="1"/>
  <c r="BL58" i="3" s="1"/>
  <c r="BS60" i="3" s="1"/>
  <c r="BZ64" i="3" s="1"/>
  <c r="L34" i="3"/>
  <c r="P34" i="3" s="1"/>
  <c r="L27" i="3"/>
  <c r="M9" i="3"/>
  <c r="O35" i="3"/>
  <c r="N29" i="3"/>
  <c r="O72" i="3"/>
  <c r="N75" i="3"/>
  <c r="O78" i="3"/>
  <c r="O75" i="3"/>
  <c r="N71" i="3"/>
  <c r="O71" i="3"/>
  <c r="N70" i="3"/>
  <c r="L75" i="3"/>
  <c r="M71" i="3"/>
  <c r="M70" i="3"/>
  <c r="L78" i="3"/>
  <c r="M78" i="3"/>
  <c r="M27" i="3"/>
  <c r="L72" i="3"/>
  <c r="M75" i="3"/>
  <c r="J75" i="3"/>
  <c r="AS74" i="3" s="1"/>
  <c r="BL54" i="3" s="1"/>
  <c r="O29" i="3"/>
  <c r="M72" i="3"/>
  <c r="L29" i="3"/>
  <c r="N28" i="3"/>
  <c r="N27" i="3"/>
  <c r="O70" i="3"/>
  <c r="J27" i="3"/>
  <c r="AS26" i="3" s="1"/>
  <c r="BL34" i="3" s="1"/>
  <c r="J69" i="3"/>
  <c r="AS68" i="3" s="1"/>
  <c r="BL70" i="3" s="1"/>
  <c r="O27" i="3"/>
  <c r="O30" i="3"/>
  <c r="M28" i="3"/>
  <c r="M30" i="3"/>
  <c r="K30" i="3" s="1"/>
  <c r="J28" i="3"/>
  <c r="AS27" i="3" s="1"/>
  <c r="BL62" i="3" s="1"/>
  <c r="BS61" i="3" s="1"/>
  <c r="J29" i="3"/>
  <c r="AE83" i="3" s="1"/>
  <c r="AQ83" i="3" s="1"/>
  <c r="J71" i="3"/>
  <c r="AE90" i="3" s="1"/>
  <c r="AQ90" i="3" s="1"/>
  <c r="O28" i="3"/>
  <c r="M29" i="3"/>
  <c r="L70" i="3"/>
  <c r="P70" i="3" s="1"/>
  <c r="J70" i="3"/>
  <c r="AS69" i="3" s="1"/>
  <c r="BL26" i="3" s="1"/>
  <c r="O69" i="3"/>
  <c r="M45" i="3"/>
  <c r="N69" i="3"/>
  <c r="N35" i="3"/>
  <c r="K35" i="3" s="1"/>
  <c r="N33" i="3"/>
  <c r="K33" i="3" s="1"/>
  <c r="J30" i="3"/>
  <c r="J9" i="3"/>
  <c r="AS8" i="3" s="1"/>
  <c r="BL50" i="3" s="1"/>
  <c r="J72" i="3"/>
  <c r="M36" i="3"/>
  <c r="J10" i="3"/>
  <c r="AS9" i="3" s="1"/>
  <c r="BL18" i="3" s="1"/>
  <c r="O51" i="3"/>
  <c r="M65" i="3"/>
  <c r="P65" i="3" s="1"/>
  <c r="O45" i="3"/>
  <c r="L45" i="3"/>
  <c r="J45" i="3"/>
  <c r="AS44" i="3" s="1"/>
  <c r="BL38" i="3" s="1"/>
  <c r="N72" i="3"/>
  <c r="L69" i="3"/>
  <c r="P69" i="3" s="1"/>
  <c r="L51" i="3"/>
  <c r="N77" i="3"/>
  <c r="M76" i="3"/>
  <c r="M51" i="3"/>
  <c r="L76" i="3"/>
  <c r="N76" i="3"/>
  <c r="O77" i="3"/>
  <c r="J65" i="3"/>
  <c r="AE89" i="3" s="1"/>
  <c r="AQ89" i="3" s="1"/>
  <c r="O65" i="3"/>
  <c r="J77" i="3"/>
  <c r="AE91" i="3" s="1"/>
  <c r="AQ91" i="3" s="1"/>
  <c r="L77" i="3"/>
  <c r="J76" i="3"/>
  <c r="AS75" i="3" s="1"/>
  <c r="BL27" i="3" s="1"/>
  <c r="N65" i="3"/>
  <c r="N45" i="3"/>
  <c r="M77" i="3"/>
  <c r="J78" i="3"/>
  <c r="O76" i="3"/>
  <c r="M64" i="3"/>
  <c r="P59" i="3"/>
  <c r="O22" i="3"/>
  <c r="O21" i="3"/>
  <c r="K58" i="3"/>
  <c r="J22" i="3"/>
  <c r="AS21" i="3" s="1"/>
  <c r="BL23" i="3" s="1"/>
  <c r="N22" i="3"/>
  <c r="M16" i="3"/>
  <c r="N40" i="3"/>
  <c r="O48" i="3"/>
  <c r="L22" i="3"/>
  <c r="L71" i="3"/>
  <c r="M22" i="3"/>
  <c r="K59" i="3"/>
  <c r="J66" i="3"/>
  <c r="N24" i="3"/>
  <c r="M24" i="3"/>
  <c r="L40" i="3"/>
  <c r="J24" i="3"/>
  <c r="M40" i="3"/>
  <c r="J21" i="3"/>
  <c r="AS20" i="3" s="1"/>
  <c r="BL42" i="3" s="1"/>
  <c r="BS44" i="3" s="1"/>
  <c r="O23" i="3"/>
  <c r="N23" i="3"/>
  <c r="L24" i="3"/>
  <c r="M41" i="3"/>
  <c r="M21" i="3"/>
  <c r="L18" i="3"/>
  <c r="O42" i="3"/>
  <c r="L21" i="3"/>
  <c r="L42" i="3"/>
  <c r="L39" i="3"/>
  <c r="J18" i="3"/>
  <c r="P58" i="3"/>
  <c r="O40" i="3"/>
  <c r="N21" i="3"/>
  <c r="M18" i="3"/>
  <c r="N41" i="3"/>
  <c r="L41" i="3"/>
  <c r="O17" i="3"/>
  <c r="K57" i="3"/>
  <c r="O41" i="3"/>
  <c r="M42" i="3"/>
  <c r="J42" i="3"/>
  <c r="O54" i="3"/>
  <c r="L23" i="3"/>
  <c r="J23" i="3"/>
  <c r="AE82" i="3" s="1"/>
  <c r="AQ82" i="3" s="1"/>
  <c r="J51" i="3"/>
  <c r="AS50" i="3" s="1"/>
  <c r="BL30" i="3" s="1"/>
  <c r="O39" i="3"/>
  <c r="N39" i="3"/>
  <c r="N18" i="3"/>
  <c r="N51" i="3"/>
  <c r="M39" i="3"/>
  <c r="J40" i="3"/>
  <c r="AS39" i="3" s="1"/>
  <c r="BL43" i="3" s="1"/>
  <c r="O24" i="3"/>
  <c r="O18" i="3"/>
  <c r="J16" i="3"/>
  <c r="AS15" i="3" s="1"/>
  <c r="BL19" i="3" s="1"/>
  <c r="N54" i="3"/>
  <c r="J52" i="3"/>
  <c r="AS51" i="3" s="1"/>
  <c r="BL59" i="3" s="1"/>
  <c r="M66" i="3"/>
  <c r="O53" i="3"/>
  <c r="L16" i="3"/>
  <c r="P57" i="3"/>
  <c r="M54" i="3"/>
  <c r="N66" i="3"/>
  <c r="L66" i="3"/>
  <c r="O52" i="3"/>
  <c r="O16" i="3"/>
  <c r="L54" i="3"/>
  <c r="M52" i="3"/>
  <c r="N16" i="3"/>
  <c r="M46" i="3"/>
  <c r="J53" i="3"/>
  <c r="AE87" i="3" s="1"/>
  <c r="AQ87" i="3" s="1"/>
  <c r="M53" i="3"/>
  <c r="N52" i="3"/>
  <c r="L53" i="3"/>
  <c r="N53" i="3"/>
  <c r="O64" i="3"/>
  <c r="J64" i="3"/>
  <c r="AS63" i="3" s="1"/>
  <c r="BL31" i="3" s="1"/>
  <c r="N64" i="3"/>
  <c r="J54" i="3"/>
  <c r="M23" i="3"/>
  <c r="P23" i="3" s="1"/>
  <c r="O66" i="3"/>
  <c r="L52" i="3"/>
  <c r="L17" i="3"/>
  <c r="J17" i="3"/>
  <c r="AE81" i="3" s="1"/>
  <c r="AQ81" i="3" s="1"/>
  <c r="L46" i="3"/>
  <c r="M17" i="3"/>
  <c r="L15" i="3"/>
  <c r="J46" i="3"/>
  <c r="AS45" i="3" s="1"/>
  <c r="BL63" i="3" s="1"/>
  <c r="N15" i="3"/>
  <c r="J48" i="3"/>
  <c r="L48" i="3"/>
  <c r="N48" i="3"/>
  <c r="N17" i="3"/>
  <c r="J41" i="3"/>
  <c r="AE85" i="3" s="1"/>
  <c r="AQ85" i="3" s="1"/>
  <c r="J47" i="3"/>
  <c r="AE86" i="3" s="1"/>
  <c r="AQ86" i="3" s="1"/>
  <c r="AT88" i="3"/>
  <c r="AN88" i="3"/>
  <c r="AL88" i="3"/>
  <c r="O46" i="3"/>
  <c r="AJ88" i="3"/>
  <c r="AI88" i="3"/>
  <c r="M48" i="3"/>
  <c r="N46" i="3"/>
  <c r="AG88" i="3"/>
  <c r="M47" i="3"/>
  <c r="L47" i="3"/>
  <c r="AF88" i="3"/>
  <c r="AH88" i="3"/>
  <c r="N47" i="3"/>
  <c r="O47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P71" i="3"/>
  <c r="P63" i="3"/>
  <c r="K45" i="3"/>
  <c r="P45" i="3"/>
  <c r="P36" i="3"/>
  <c r="AF84" i="3"/>
  <c r="AG84" i="3"/>
  <c r="AH84" i="3"/>
  <c r="AI84" i="3"/>
  <c r="AJ84" i="3"/>
  <c r="AL84" i="3"/>
  <c r="AN84" i="3"/>
  <c r="AT84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72" i="3" l="1"/>
  <c r="P28" i="3"/>
  <c r="P64" i="3"/>
  <c r="P9" i="3"/>
  <c r="AT91" i="3"/>
  <c r="P76" i="3"/>
  <c r="AN91" i="3"/>
  <c r="K69" i="3"/>
  <c r="AL91" i="3"/>
  <c r="AJ91" i="3"/>
  <c r="AI91" i="3"/>
  <c r="K76" i="3"/>
  <c r="AH91" i="3"/>
  <c r="AF91" i="3"/>
  <c r="AG91" i="3"/>
  <c r="AL89" i="3"/>
  <c r="AI89" i="3"/>
  <c r="AJ89" i="3"/>
  <c r="AH89" i="3"/>
  <c r="AG89" i="3"/>
  <c r="AF89" i="3"/>
  <c r="AT89" i="3"/>
  <c r="K36" i="3"/>
  <c r="AN89" i="3"/>
  <c r="K9" i="3"/>
  <c r="K71" i="3"/>
  <c r="K70" i="3"/>
  <c r="K12" i="3"/>
  <c r="K34" i="3"/>
  <c r="P77" i="3"/>
  <c r="P75" i="3"/>
  <c r="K78" i="3"/>
  <c r="K75" i="3"/>
  <c r="K28" i="3"/>
  <c r="K77" i="3"/>
  <c r="AT90" i="3"/>
  <c r="P78" i="3"/>
  <c r="K65" i="3"/>
  <c r="K64" i="3"/>
  <c r="P42" i="3"/>
  <c r="K72" i="3"/>
  <c r="P30" i="3"/>
  <c r="P51" i="3"/>
  <c r="K51" i="3"/>
  <c r="P16" i="3"/>
  <c r="K22" i="3"/>
  <c r="AH82" i="3"/>
  <c r="P39" i="3"/>
  <c r="P18" i="3"/>
  <c r="P22" i="3"/>
  <c r="AL87" i="3"/>
  <c r="P24" i="3"/>
  <c r="K24" i="3"/>
  <c r="AJ87" i="3"/>
  <c r="AI87" i="3"/>
  <c r="AG87" i="3"/>
  <c r="K40" i="3"/>
  <c r="AH87" i="3"/>
  <c r="AL82" i="3"/>
  <c r="AJ82" i="3"/>
  <c r="AF87" i="3"/>
  <c r="AI82" i="3"/>
  <c r="K39" i="3"/>
  <c r="K41" i="3"/>
  <c r="AH86" i="3"/>
  <c r="P40" i="3"/>
  <c r="K42" i="3"/>
  <c r="P17" i="3"/>
  <c r="P54" i="3"/>
  <c r="P46" i="3"/>
  <c r="P41" i="3"/>
  <c r="AT82" i="3"/>
  <c r="AF85" i="3"/>
  <c r="P53" i="3"/>
  <c r="AT81" i="3"/>
  <c r="AN82" i="3"/>
  <c r="AG82" i="3"/>
  <c r="AG81" i="3"/>
  <c r="AL85" i="3"/>
  <c r="AF81" i="3"/>
  <c r="AJ85" i="3"/>
  <c r="K46" i="3"/>
  <c r="AF82" i="3"/>
  <c r="K16" i="3"/>
  <c r="AH85" i="3"/>
  <c r="P21" i="3"/>
  <c r="AN81" i="3"/>
  <c r="AL81" i="3"/>
  <c r="AH81" i="3"/>
  <c r="AG85" i="3"/>
  <c r="K21" i="3"/>
  <c r="P52" i="3"/>
  <c r="K54" i="3"/>
  <c r="K18" i="3"/>
  <c r="K53" i="3"/>
  <c r="P15" i="3"/>
  <c r="P66" i="3"/>
  <c r="K48" i="3"/>
  <c r="AT85" i="3"/>
  <c r="AN85" i="3"/>
  <c r="AI85" i="3"/>
  <c r="AF86" i="3"/>
  <c r="K66" i="3"/>
  <c r="P48" i="3"/>
  <c r="K15" i="3"/>
  <c r="K52" i="3"/>
  <c r="AJ81" i="3"/>
  <c r="K23" i="3"/>
  <c r="AT87" i="3"/>
  <c r="AI81" i="3"/>
  <c r="AN87" i="3"/>
  <c r="K47" i="3"/>
  <c r="K17" i="3"/>
  <c r="AG86" i="3"/>
  <c r="P47" i="3"/>
  <c r="AT86" i="3"/>
  <c r="AN86" i="3"/>
  <c r="AL86" i="3"/>
  <c r="AJ86" i="3"/>
  <c r="AI86" i="3"/>
  <c r="AH92" i="3" l="1"/>
  <c r="AL92" i="3"/>
  <c r="AM88" i="3" s="1"/>
  <c r="AJ92" i="3"/>
  <c r="AG92" i="3"/>
  <c r="AF92" i="3"/>
  <c r="AS92" i="3"/>
  <c r="AI92" i="3"/>
  <c r="AN92" i="3"/>
  <c r="AM83" i="3"/>
  <c r="AM91" i="3"/>
  <c r="AM82" i="3"/>
  <c r="AM90" i="3"/>
  <c r="AM84" i="3" l="1"/>
  <c r="AM85" i="3"/>
  <c r="AM86" i="3"/>
  <c r="AM87" i="3"/>
  <c r="AM81" i="3"/>
  <c r="AM80" i="3"/>
  <c r="AM89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83" i="3" l="1"/>
  <c r="AP85" i="3"/>
  <c r="AP88" i="3"/>
  <c r="AP81" i="3"/>
  <c r="AP91" i="3"/>
  <c r="AP82" i="3"/>
  <c r="AP90" i="3"/>
  <c r="AP89" i="3"/>
  <c r="AD89" i="3" s="1"/>
  <c r="AS89" i="3" s="1"/>
  <c r="AP86" i="3"/>
  <c r="AD86" i="3" s="1"/>
  <c r="AS86" i="3" s="1"/>
  <c r="AP84" i="3"/>
  <c r="AD84" i="3" s="1"/>
  <c r="AS84" i="3" s="1"/>
  <c r="AP80" i="3"/>
  <c r="AD82" i="3" s="1"/>
  <c r="AS82" i="3" s="1"/>
  <c r="AD81" i="3" l="1"/>
  <c r="AS81" i="3" s="1"/>
  <c r="AD85" i="3"/>
  <c r="AS85" i="3" s="1"/>
  <c r="AD88" i="3"/>
  <c r="AS88" i="3" s="1"/>
  <c r="AD90" i="3"/>
  <c r="AS90" i="3" s="1"/>
  <c r="AD87" i="3"/>
  <c r="AS87" i="3" s="1"/>
  <c r="AD91" i="3"/>
  <c r="AS91" i="3" s="1"/>
  <c r="AD83" i="3"/>
  <c r="AS83" i="3" s="1"/>
  <c r="AD80" i="3"/>
  <c r="M87" i="3" l="1"/>
  <c r="J84" i="3"/>
  <c r="J86" i="3"/>
  <c r="O81" i="3"/>
  <c r="M90" i="3"/>
  <c r="J89" i="3"/>
  <c r="O92" i="3"/>
  <c r="N88" i="3"/>
  <c r="N84" i="3"/>
  <c r="N86" i="3"/>
  <c r="N82" i="3"/>
  <c r="M81" i="3"/>
  <c r="P81" i="3" s="1"/>
  <c r="N87" i="3"/>
  <c r="J83" i="3"/>
  <c r="M92" i="3"/>
  <c r="M91" i="3"/>
  <c r="J81" i="3"/>
  <c r="L83" i="3"/>
  <c r="O83" i="3"/>
  <c r="L87" i="3"/>
  <c r="P87" i="3" s="1"/>
  <c r="L90" i="3"/>
  <c r="P90" i="3" s="1"/>
  <c r="J88" i="3"/>
  <c r="L91" i="3"/>
  <c r="J91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AS80" i="3"/>
  <c r="L82" i="3"/>
  <c r="O82" i="3"/>
  <c r="N83" i="3"/>
  <c r="L86" i="3"/>
  <c r="N81" i="3"/>
  <c r="O87" i="3"/>
  <c r="J85" i="3"/>
  <c r="M88" i="3"/>
  <c r="O86" i="3"/>
  <c r="L84" i="3"/>
  <c r="J92" i="3"/>
  <c r="N85" i="3"/>
  <c r="O85" i="3"/>
  <c r="O88" i="3"/>
  <c r="J90" i="3"/>
  <c r="J87" i="3"/>
  <c r="J82" i="3"/>
  <c r="O89" i="3"/>
  <c r="O91" i="3"/>
  <c r="L88" i="3"/>
  <c r="P88" i="3" s="1"/>
  <c r="M86" i="3"/>
  <c r="K86" i="3" s="1"/>
  <c r="M82" i="3"/>
  <c r="K82" i="3" s="1"/>
  <c r="M89" i="3"/>
  <c r="N89" i="3"/>
  <c r="L89" i="3"/>
  <c r="N92" i="3"/>
  <c r="N90" i="3"/>
  <c r="M85" i="3"/>
  <c r="L92" i="3"/>
  <c r="O90" i="3"/>
  <c r="O84" i="3"/>
  <c r="N91" i="3"/>
  <c r="L85" i="3"/>
  <c r="M84" i="3"/>
  <c r="M83" i="3"/>
  <c r="L81" i="3"/>
  <c r="K87" i="3" l="1"/>
  <c r="K84" i="3"/>
  <c r="K90" i="3"/>
  <c r="P91" i="3"/>
  <c r="P82" i="3"/>
  <c r="K88" i="3"/>
  <c r="K89" i="3"/>
  <c r="K81" i="3"/>
  <c r="H3" i="4"/>
  <c r="BL39" i="3" s="1"/>
  <c r="K83" i="3"/>
  <c r="P83" i="3"/>
  <c r="D3" i="4"/>
  <c r="BL51" i="3" s="1"/>
  <c r="K3" i="4"/>
  <c r="BL55" i="3" s="1"/>
  <c r="B3" i="4"/>
  <c r="P84" i="3"/>
  <c r="E3" i="4"/>
  <c r="BL67" i="3" s="1"/>
  <c r="G3" i="4"/>
  <c r="BL11" i="3" s="1"/>
  <c r="P86" i="3"/>
  <c r="K91" i="3"/>
  <c r="J3" i="4"/>
  <c r="BL71" i="3" s="1"/>
  <c r="P89" i="3"/>
  <c r="K92" i="3"/>
  <c r="I3" i="4"/>
  <c r="BL15" i="3" s="1"/>
  <c r="K85" i="3"/>
  <c r="P85" i="3"/>
  <c r="P92" i="3"/>
  <c r="BS53" i="3"/>
  <c r="BS52" i="3"/>
  <c r="BZ49" i="3" s="1"/>
  <c r="CG55" i="3" s="1"/>
  <c r="BS69" i="3"/>
  <c r="BS6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<sst xmlns="http://schemas.openxmlformats.org/spreadsheetml/2006/main" count="9786" uniqueCount="3698">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</sst>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K10" zoomScaleNormal="100" workbookViewId="0">
      <selection activeCell="CN29" sqref="CN29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1</v>
      </c>
      <c r="G7" s="15">
        <v>2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Mexico_lose</v>
      </c>
      <c r="T7" s="127" t="str">
        <f t="shared" ref="T7:T46" si="2">IF(S7="","",IF(F7&lt;G7,H7&amp;"_win",IF(F7&gt;G7,H7&amp;"_lose",H7&amp;"_draw")))</f>
        <v>South Africa_win</v>
      </c>
      <c r="U7" s="123">
        <f>IF(S7="",0,IF(VLOOKUP(E7,$AE$8:$AN$77,10,FALSE)=VLOOKUP(H7,$AE$8:$AN$77,10,FALSE),1,0))</f>
        <v>1</v>
      </c>
      <c r="V7" s="123">
        <f t="shared" ref="V7:V46" si="3">U7*F7</f>
        <v>1</v>
      </c>
      <c r="W7" s="123">
        <f t="shared" ref="W7:W46" si="4">U7*G7</f>
        <v>2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-1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3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Republic_lose</v>
      </c>
      <c r="T8" s="127" t="str">
        <f t="shared" si="2"/>
        <v>Czech Republic_win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-1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1</v>
      </c>
      <c r="AI8" s="123">
        <f>SUMIF($E$7:$E$78,$AE8,$F$7:$F$78) + SUMIF($H$7:$H$78,$AE8,$G$7:$G$78)</f>
        <v>7</v>
      </c>
      <c r="AJ8" s="123">
        <f>SUMIF($E$7:$E$78,$AE8,$G$7:$G$78) + SUMIF($H$7:$H$78,$AE8,$F$7:$F$78)</f>
        <v>4</v>
      </c>
      <c r="AL8" s="123">
        <f>AI8-AJ8</f>
        <v>3</v>
      </c>
      <c r="AM8" s="123">
        <f>AL8-AL12</f>
        <v>7</v>
      </c>
      <c r="AN8" s="123">
        <f>AF8*3+AG8</f>
        <v>6</v>
      </c>
      <c r="AO8" s="123">
        <f>AN8/AN12*10+BA8</f>
        <v>9.5694652206432309</v>
      </c>
      <c r="AP8" s="123">
        <f>AO8*10000000+BI8*100+AM8/AM12*10+AI8/AI12*1++IF(AQ8=0,ROW(),AQ8)/2000000</f>
        <v>95694661.735050604</v>
      </c>
      <c r="AQ8" s="126">
        <f>VLOOKUP(AE8,db_fifarank,2,FALSE)</f>
        <v>1681.03</v>
      </c>
      <c r="AR8" s="125">
        <f>AP8/AP12</f>
        <v>0.99999998955009639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1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5</v>
      </c>
      <c r="AW8" s="126" cm="1">
        <f t="array" ref="AW8">SUMPRODUCT(($E$7:$E$78=AE8)*($U$7:$U$78)*($G$7:$G$78))+SUMPRODUCT(($H$7:$H$78=AE8)*($U$7:$U$78)*($F$7:$F$78))</f>
        <v>3</v>
      </c>
      <c r="AX8" s="126">
        <f>AV8-AW8</f>
        <v>2</v>
      </c>
      <c r="AY8" s="126">
        <f>AX8-MIN(AX8:AX11)</f>
        <v>3</v>
      </c>
      <c r="AZ8" s="126">
        <f>AT8/AT12*1000+AU8/AU12*100+AY8/AY12*10+AV8/AV12</f>
        <v>508.33333333333331</v>
      </c>
      <c r="BA8" s="126">
        <f>AZ8/AZ12</f>
        <v>0.99803664921465973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3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1</v>
      </c>
      <c r="O9" s="31" t="str">
        <f>VLOOKUP(1,AD8:AN11,6,FALSE) &amp; " - " &amp; VLOOKUP(1,AD8:AN11,7,FALSE)</f>
        <v>7 - 4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Canada_win</v>
      </c>
      <c r="T9" s="127" t="str">
        <f t="shared" si="2"/>
        <v>Bosnia and Herzegovina_lose</v>
      </c>
      <c r="U9" s="123">
        <f t="shared" si="8"/>
        <v>1</v>
      </c>
      <c r="V9" s="123">
        <f t="shared" si="3"/>
        <v>3</v>
      </c>
      <c r="W9" s="123">
        <f t="shared" si="4"/>
        <v>1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1</v>
      </c>
      <c r="AD9" s="123">
        <f>COUNTIF(AR8:AR11,CONCATENATE("&gt;=",AR9))</f>
        <v>3</v>
      </c>
      <c r="AE9" s="124" t="str">
        <f>VLOOKUP("South Africa",T,lang,FALSE)</f>
        <v>South Africa</v>
      </c>
      <c r="AF9" s="123">
        <f>COUNTIF($S$7:$T$78,"=" &amp; AE9 &amp; "_win")</f>
        <v>2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7</v>
      </c>
      <c r="AJ9" s="123">
        <f>SUMIF($E$7:$E$78,$AE9,$G$7:$G$78) + SUMIF($H$7:$H$78,$AE9,$F$7:$F$78)</f>
        <v>6</v>
      </c>
      <c r="AL9" s="123">
        <f>AI9-AJ9</f>
        <v>1</v>
      </c>
      <c r="AM9" s="123">
        <f>AL9-AL12</f>
        <v>5</v>
      </c>
      <c r="AN9" s="123">
        <f>AF9*3+AG9</f>
        <v>6</v>
      </c>
      <c r="AO9" s="123">
        <f>AN9/AN12*10+BA9</f>
        <v>9.5544128646222894</v>
      </c>
      <c r="AP9" s="123">
        <f>AO9*10000000+BI9*100+AM9/AM12*10+AI9/AI12*1++IF(AQ9=0,ROW(),AQ9)/2000000</f>
        <v>95544135.674715534</v>
      </c>
      <c r="AQ9" s="126">
        <f>VLOOKUP(AE9,db_fifarank,2,FALSE)</f>
        <v>1429.73</v>
      </c>
      <c r="AR9" s="125">
        <f>AP9/AP12</f>
        <v>0.99842700673127582</v>
      </c>
      <c r="AS9" s="125" t="str">
        <f>IF(SUM(AF8:AH11)=12,J10,"2A")</f>
        <v>Czech Republic</v>
      </c>
      <c r="AT9" s="126" cm="1">
        <f t="array" ref="AT9">SUMPRODUCT(($S$7:$S$78=AE9&amp;"_win")*($U$7:$U$78))+SUMPRODUCT(($T$7:$T$78=AE9&amp;"_win")*($U$7:$U$78))</f>
        <v>1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4</v>
      </c>
      <c r="AW9" s="126" cm="1">
        <f t="array" ref="AW9">SUMPRODUCT(($E$7:$E$78=AE9)*($U$7:$U$78)*($G$7:$G$78))+SUMPRODUCT(($H$7:$H$78=AE9)*($U$7:$U$78)*($F$7:$F$78))</f>
        <v>5</v>
      </c>
      <c r="AX9" s="126">
        <f>AV9-AW9</f>
        <v>-1</v>
      </c>
      <c r="AY9" s="126">
        <f>AX9-MIN(AX8:AX11)</f>
        <v>0</v>
      </c>
      <c r="AZ9" s="126">
        <f>AT9/AT12*1000+AU9/AU12*100+AY9/AY12*10+AV9/AV12</f>
        <v>500.66666666666669</v>
      </c>
      <c r="BA9" s="126">
        <f>AZ9/AZ12</f>
        <v>0.98298429319371738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2</v>
      </c>
      <c r="H10" s="80" t="str">
        <f>AE27</f>
        <v>Paraguay</v>
      </c>
      <c r="J10" s="33" t="str">
        <f>VLOOKUP(2,AD8:AN11,2,FALSE)</f>
        <v>Czech Republic</v>
      </c>
      <c r="K10" s="23">
        <f>L10+M10+N10</f>
        <v>3</v>
      </c>
      <c r="L10" s="23">
        <f>VLOOKUP(2,AD8:AN11,3,FALSE)</f>
        <v>2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8 - 8</v>
      </c>
      <c r="P10" s="34">
        <f>L10*3+M10</f>
        <v>6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1</v>
      </c>
      <c r="V10" s="123">
        <f t="shared" si="3"/>
        <v>4</v>
      </c>
      <c r="W10" s="123">
        <f t="shared" si="4"/>
        <v>2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4</v>
      </c>
      <c r="AE10" s="124" t="str">
        <f>VLOOKUP("Korea Republic",T,lang,FALSE)</f>
        <v>Korea Republic</v>
      </c>
      <c r="AF10" s="123">
        <f>COUNTIF($S$7:$T$78,"=" &amp; AE10 &amp; "_win")</f>
        <v>0</v>
      </c>
      <c r="AG10" s="123">
        <f>COUNTIF($S$7:$T$78,"=" &amp; AE10 &amp; "_draw")</f>
        <v>0</v>
      </c>
      <c r="AH10" s="123">
        <f>COUNTIF($S$7:$T$78,"=" &amp; AE10 &amp; "_lose")</f>
        <v>3</v>
      </c>
      <c r="AI10" s="123">
        <f>SUMIF($E$7:$E$78,$AE10,$F$7:$F$78) + SUMIF($H$7:$H$78,$AE10,$G$7:$G$78)</f>
        <v>4</v>
      </c>
      <c r="AJ10" s="123">
        <f>SUMIF($E$7:$E$78,$AE10,$G$7:$G$78) + SUMIF($H$7:$H$78,$AE10,$F$7:$F$78)</f>
        <v>8</v>
      </c>
      <c r="AL10" s="123">
        <f>AI10-AJ10</f>
        <v>-4</v>
      </c>
      <c r="AM10" s="123">
        <f>AL10-AL12</f>
        <v>0</v>
      </c>
      <c r="AN10" s="123">
        <f>AF10*3+AG10</f>
        <v>0</v>
      </c>
      <c r="AO10" s="123">
        <f>AN10/AN12*10+BA10</f>
        <v>4.9083769633507853E-3</v>
      </c>
      <c r="AP10" s="123">
        <f>AO10*10000000+BI10*100+AM10/AM12*10+AI10/AI12*1++IF(AQ10=0,ROW(),AQ10)/2000000</f>
        <v>49084.214872282297</v>
      </c>
      <c r="AQ10" s="126">
        <f>VLOOKUP(AE10,db_fifarank,2,FALSE)</f>
        <v>1588.66</v>
      </c>
      <c r="AR10" s="125">
        <f>AP10/AP12</f>
        <v>5.1292531338118148E-4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1</v>
      </c>
      <c r="AZ10" s="126">
        <f>AT10/AT12*1000+AU10/AU12*100+AY10/AY12*10+AV10/AV12</f>
        <v>2.5</v>
      </c>
      <c r="BA10" s="126">
        <f>AZ10/AZ12</f>
        <v>4.9083769633507853E-3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Germany</v>
      </c>
      <c r="BM10" s="61">
        <v>1</v>
      </c>
      <c r="BN10" s="63"/>
      <c r="BO10" s="25"/>
      <c r="BP10" s="112">
        <f>IF(OR(BM10="",BM11="",AND(BN10="",BN11&lt;&gt;""),AND(BN11="",BN10&lt;&gt;""),AND(BO10="",BO11&lt;&gt;""),AND(BO11="",BO10&lt;&gt;"")),"",BM10*1000+BN10*10+BO10)</f>
        <v>1000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1</v>
      </c>
      <c r="G11" s="20">
        <v>3</v>
      </c>
      <c r="H11" s="80" t="str">
        <f>AE23</f>
        <v>Scotland</v>
      </c>
      <c r="J11" s="33" t="str">
        <f>VLOOKUP(3,AD8:AN11,2,FALSE)</f>
        <v>South Africa</v>
      </c>
      <c r="K11" s="23">
        <f>L11+M11+N11</f>
        <v>3</v>
      </c>
      <c r="L11" s="23">
        <f>VLOOKUP(3,AD8:AN11,3,FALSE)</f>
        <v>2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7 - 6</v>
      </c>
      <c r="P11" s="34">
        <f>L11*3+M11</f>
        <v>6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2</v>
      </c>
      <c r="AE11" s="124" t="str">
        <f>VLOOKUP("Czech Republic",T,lang,FALSE)</f>
        <v>Czech Republic</v>
      </c>
      <c r="AF11" s="123">
        <f>COUNTIF($S$7:$T$78,"=" &amp; AE11 &amp; "_win")</f>
        <v>2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8</v>
      </c>
      <c r="AJ11" s="123">
        <f>SUMIF($E$7:$E$78,$AE11,$G$7:$G$78) + SUMIF($H$7:$H$78,$AE11,$F$7:$F$78)</f>
        <v>8</v>
      </c>
      <c r="AL11" s="123">
        <f>AI11-AJ11</f>
        <v>0</v>
      </c>
      <c r="AM11" s="123">
        <f>AL11-AL12</f>
        <v>4</v>
      </c>
      <c r="AN11" s="123">
        <f>AF11*3+AG11</f>
        <v>6</v>
      </c>
      <c r="AO11" s="123">
        <f>AN11/AN12*10+BA11</f>
        <v>9.554740089753178</v>
      </c>
      <c r="AP11" s="123">
        <f>AO11*10000000+BI11*100+AM11/AM12*10+AI11/AI12*1++IF(AQ11=0,ROW(),AQ11)/2000000</f>
        <v>95547406.787171364</v>
      </c>
      <c r="AQ11" s="126">
        <f>VLOOKUP(AE11,db_fifarank,2,FALSE)</f>
        <v>1501.38</v>
      </c>
      <c r="AR11" s="125">
        <f>AP11/AP12</f>
        <v>0.99846118954108287</v>
      </c>
      <c r="AT11" s="126" cm="1">
        <f t="array" ref="AT11">SUMPRODUCT(($S$7:$S$78=AE11&amp;"_win")*($U$7:$U$78))+SUMPRODUCT(($T$7:$T$78=AE11&amp;"_win")*($U$7:$U$78))</f>
        <v>1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5</v>
      </c>
      <c r="AW11" s="126" cm="1">
        <f t="array" ref="AW11">SUMPRODUCT(($E$7:$E$78=AE11)*($U$7:$U$78)*($G$7:$G$78))+SUMPRODUCT(($H$7:$H$78=AE11)*($U$7:$U$78)*($F$7:$F$78))</f>
        <v>6</v>
      </c>
      <c r="AX11" s="126">
        <f>AV11-AW11</f>
        <v>-1</v>
      </c>
      <c r="AY11" s="126">
        <f>AX11-MIN(AX8:AX11)</f>
        <v>0</v>
      </c>
      <c r="AZ11" s="126">
        <f>AT11/AT12*1000+AU11/AU12*100+AY11/AY12*10+AV11/AV12</f>
        <v>500.83333333333331</v>
      </c>
      <c r="BA11" s="126">
        <f>AZ11/AZ12</f>
        <v>0.98331151832460728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Morocco</v>
      </c>
      <c r="BM11" s="62">
        <v>0</v>
      </c>
      <c r="BN11" s="64"/>
      <c r="BO11" s="27"/>
      <c r="BP11" s="113">
        <f>IF(BP10="","",BM11*1000+BN11*10+BO11)</f>
        <v>0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1</v>
      </c>
      <c r="G12" s="20">
        <v>4</v>
      </c>
      <c r="H12" s="80" t="str">
        <f>AE29</f>
        <v>Turkey</v>
      </c>
      <c r="J12" s="35" t="str">
        <f>VLOOKUP(4,AD8:AN11,2,FALSE)</f>
        <v>Korea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3</v>
      </c>
      <c r="O12" s="36" t="str">
        <f>VLOOKUP(4,AD8:AN11,6,FALSE) &amp; " - " &amp; VLOOKUP(4,AD8:AN11,7,FALSE)</f>
        <v>4 - 8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Australia_lose</v>
      </c>
      <c r="T12" s="127" t="str">
        <f t="shared" si="2"/>
        <v>Turkey_win</v>
      </c>
      <c r="U12" s="123">
        <f t="shared" si="8"/>
        <v>1</v>
      </c>
      <c r="V12" s="123">
        <f t="shared" si="3"/>
        <v>1</v>
      </c>
      <c r="W12" s="123">
        <f t="shared" si="4"/>
        <v>4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-1</v>
      </c>
      <c r="AF12" s="123">
        <f t="shared" ref="AF12:AH12" si="12">MAX(AF8:AF11)-MIN(AF8:AF11)+1</f>
        <v>3</v>
      </c>
      <c r="AG12" s="123">
        <f t="shared" si="12"/>
        <v>1</v>
      </c>
      <c r="AH12" s="123">
        <f t="shared" si="12"/>
        <v>3</v>
      </c>
      <c r="AI12" s="123">
        <f>MAX(AI8:AI11)+1</f>
        <v>9</v>
      </c>
      <c r="AL12" s="123">
        <f>MIN(AL8:AL11)</f>
        <v>-4</v>
      </c>
      <c r="AM12" s="123">
        <f>MAX(AM8:AM11)+1</f>
        <v>8</v>
      </c>
      <c r="AN12" s="123">
        <f>MAX(AN8:AN11)+1</f>
        <v>7</v>
      </c>
      <c r="AO12" s="123">
        <f>MAX(AO8:AO11)+1</f>
        <v>10.569465220643231</v>
      </c>
      <c r="AP12" s="123">
        <f>MAX(AP8:AP11)+1</f>
        <v>95694662.735050604</v>
      </c>
      <c r="AT12" s="126">
        <f>MAX(AT8:AT11)-MIN(AT8:AT11)+1</f>
        <v>2</v>
      </c>
      <c r="AU12" s="126">
        <f>MAX(AU8:AU11)-MIN(AU8:AU11)+1</f>
        <v>1</v>
      </c>
      <c r="AV12" s="126">
        <f>MAX(AV8:AV11)-MIN(AV8:AV11)+1</f>
        <v>6</v>
      </c>
      <c r="AW12" s="126">
        <f>MAX(AW8:AW11)-MIN(AW8:AW11)+1</f>
        <v>7</v>
      </c>
      <c r="AY12" s="126">
        <f>MAX(AY8:AY11)-MIN(AY8:AY11)+1</f>
        <v>4</v>
      </c>
      <c r="AZ12" s="126">
        <f>MAX(AZ8:AZ11)+1</f>
        <v>509.33333333333331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>Germany</v>
      </c>
      <c r="BT12" s="61">
        <v>0</v>
      </c>
      <c r="BU12" s="63"/>
      <c r="BV12" s="25"/>
      <c r="BW12" s="112">
        <f>IF(OR(BT12="",BT13="",AND(BU12="",BU13&lt;&gt;""),AND(BU13="",BU12&lt;&gt;""),AND(BV12="",BV13&lt;&gt;""),AND(BV13="",BV12&lt;&gt;"")),"",BT12*1000+BU12*10+BV12)</f>
        <v>0</v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2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Brazil_win</v>
      </c>
      <c r="T13" s="127" t="str">
        <f t="shared" si="2"/>
        <v>Morocco_lose</v>
      </c>
      <c r="U13" s="123">
        <f t="shared" si="8"/>
        <v>0</v>
      </c>
      <c r="V13" s="123">
        <f t="shared" si="3"/>
        <v>0</v>
      </c>
      <c r="W13" s="123">
        <f t="shared" si="4"/>
        <v>0</v>
      </c>
      <c r="X13" s="123">
        <f t="shared" si="9"/>
        <v>0</v>
      </c>
      <c r="Y13" s="123">
        <f t="shared" si="10"/>
        <v>0</v>
      </c>
      <c r="Z13" s="123">
        <f t="shared" si="11"/>
        <v>0</v>
      </c>
      <c r="AA13" s="123">
        <f t="shared" si="5"/>
        <v>0</v>
      </c>
      <c r="AB13" s="123">
        <f t="shared" si="6"/>
        <v>1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>Norway</v>
      </c>
      <c r="BT13" s="62">
        <v>1</v>
      </c>
      <c r="BU13" s="64"/>
      <c r="BV13" s="27"/>
      <c r="BW13" s="113">
        <f>IF(BW12="","",BT13*1000+BU13*10+BV13)</f>
        <v>1000</v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3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Qatar_win</v>
      </c>
      <c r="T14" s="127" t="str">
        <f t="shared" si="2"/>
        <v>Switzerland_lose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1</v>
      </c>
      <c r="AD14" s="123">
        <f>COUNTIF(AR14:AR17,CONCATENATE("&gt;=",AR14))</f>
        <v>3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0</v>
      </c>
      <c r="AH14" s="123">
        <f>COUNTIF($S$7:$T$78,"=" &amp; AE14 &amp; "_lose")</f>
        <v>2</v>
      </c>
      <c r="AI14" s="123">
        <f>SUMIF($E$7:$E$78,$AE14,$F$7:$F$78) + SUMIF($H$7:$H$78,$AE14,$G$7:$G$78)</f>
        <v>6</v>
      </c>
      <c r="AJ14" s="123">
        <f>SUMIF($E$7:$E$78,$AE14,$G$7:$G$78) + SUMIF($H$7:$H$78,$AE14,$F$7:$F$78)</f>
        <v>9</v>
      </c>
      <c r="AL14" s="123">
        <f>AI14-AJ14</f>
        <v>-3</v>
      </c>
      <c r="AM14" s="123">
        <f>AL14-AL18</f>
        <v>0</v>
      </c>
      <c r="AN14" s="123">
        <f>AF14*3+AG14</f>
        <v>3</v>
      </c>
      <c r="AO14" s="123">
        <f>AN14/AN18*10+BA14</f>
        <v>3.9980073065426769</v>
      </c>
      <c r="AP14" s="123">
        <f>AO14*10000000+BI14*100+AM14/AM18*10+AI14/AI18*1++IF(AQ14=0,ROW(),AQ14)/2000000</f>
        <v>39980073.690121695</v>
      </c>
      <c r="AQ14" s="126">
        <f>VLOOKUP(AE14,db_fifarank,2,FALSE)</f>
        <v>1556.48</v>
      </c>
      <c r="AR14" s="125">
        <f>AP14/AP18</f>
        <v>0.4442229828310984</v>
      </c>
      <c r="AS14" s="125" t="str">
        <f>IF(SUM(AF14:AH17)=12,J15,"1B")</f>
        <v>Qatar</v>
      </c>
      <c r="AT14" s="126" cm="1">
        <f t="array" ref="AT14">SUMPRODUCT(($S$7:$S$78=AE14&amp;"_win")*($U$7:$U$78))+SUMPRODUCT(($T$7:$T$78=AE14&amp;"_win")*($U$7:$U$78))</f>
        <v>1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5</v>
      </c>
      <c r="AW14" s="126" cm="1">
        <f t="array" ref="AW14">SUMPRODUCT(($E$7:$E$78=AE14)*($U$7:$U$78)*($G$7:$G$78))+SUMPRODUCT(($H$7:$H$78=AE14)*($U$7:$U$78)*($F$7:$F$78))</f>
        <v>5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500.83333333333331</v>
      </c>
      <c r="BA14" s="126">
        <f>AZ14/AZ18</f>
        <v>0.99800730654267689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2</v>
      </c>
      <c r="BE14" s="126" cm="1">
        <f t="array" ref="BE14">SUMPRODUCT(($E$7:$E$78=AE14)*($X$7:$X$78)*($G$7:$G$78))+SUMPRODUCT(($H$7:$H$78=AE14)*($X$7:$X$78)*($F$7:$F$78))</f>
        <v>4</v>
      </c>
      <c r="BF14" s="126">
        <f>BD14-BE14</f>
        <v>-2</v>
      </c>
      <c r="BG14" s="126">
        <f>BF14-MIN(BF14:BF17)</f>
        <v>0</v>
      </c>
      <c r="BH14" s="126">
        <f>BB14/BB18*1000+BC14/BC18*100+BG14/BG18*10+BD14/BD18</f>
        <v>0.4</v>
      </c>
      <c r="BI14" s="126">
        <f>BH14/BH18</f>
        <v>7.8462142016477048E-4</v>
      </c>
      <c r="BK14" s="141">
        <v>77</v>
      </c>
      <c r="BL14" s="24" t="str">
        <f>AS56</f>
        <v>Norway</v>
      </c>
      <c r="BM14" s="61">
        <v>1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1000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3</v>
      </c>
      <c r="G15" s="20">
        <v>2</v>
      </c>
      <c r="H15" s="80" t="str">
        <f>AE35</f>
        <v>Ecuador</v>
      </c>
      <c r="J15" s="30" t="str">
        <f>VLOOKUP(1,AD14:AN17,2,FALSE)</f>
        <v>Qatar</v>
      </c>
      <c r="K15" s="31">
        <f>L15+M15+N15</f>
        <v>3</v>
      </c>
      <c r="L15" s="31">
        <f>VLOOKUP(1,AD14:AN17,3,FALSE)</f>
        <v>3</v>
      </c>
      <c r="M15" s="31">
        <f>VLOOKUP(1,AD14:AN17,4,FALSE)</f>
        <v>0</v>
      </c>
      <c r="N15" s="31">
        <f>VLOOKUP(1,AD14:AN17,5,FALSE)</f>
        <v>0</v>
      </c>
      <c r="O15" s="31" t="str">
        <f>VLOOKUP(1,AD14:AN17,6,FALSE) &amp; " - " &amp; VLOOKUP(1,AD14:AN17,7,FALSE)</f>
        <v>10 - 3</v>
      </c>
      <c r="P15" s="32">
        <f>L15*3+M15</f>
        <v>9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1</v>
      </c>
      <c r="V15" s="123">
        <f t="shared" si="3"/>
        <v>3</v>
      </c>
      <c r="W15" s="123">
        <f t="shared" si="4"/>
        <v>2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0</v>
      </c>
      <c r="AH15" s="123">
        <f>COUNTIF($S$7:$T$78,"=" &amp; AE15 &amp; "_lose")</f>
        <v>2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7</v>
      </c>
      <c r="AL15" s="123">
        <f>AI15-AJ15</f>
        <v>-2</v>
      </c>
      <c r="AM15" s="123">
        <f>AL15-AL18</f>
        <v>1</v>
      </c>
      <c r="AN15" s="123">
        <f>AF15*3+AG15</f>
        <v>3</v>
      </c>
      <c r="AO15" s="123">
        <f>AN15/AN18*10+BA15</f>
        <v>3.9976751909664565</v>
      </c>
      <c r="AP15" s="123">
        <f>AO15*10000000+BI15*100+AM15/AM18*10+AI15/AI18*1++IF(AQ15=0,ROW(),AQ15)/2000000</f>
        <v>39976754.05861526</v>
      </c>
      <c r="AQ15" s="126">
        <f>VLOOKUP(AE15,db_fifarank,2,FALSE)</f>
        <v>1385.84</v>
      </c>
      <c r="AR15" s="125">
        <f>AP15/AP18</f>
        <v>0.44418609804141246</v>
      </c>
      <c r="AS15" s="125" t="str">
        <f>IF(SUM(AF14:AH17)=12,J16,"2B")</f>
        <v>Switzerland</v>
      </c>
      <c r="AT15" s="126" cm="1">
        <f t="array" ref="AT15">SUMPRODUCT(($S$7:$S$78=AE15&amp;"_win")*($U$7:$U$78))+SUMPRODUCT(($T$7:$T$78=AE15&amp;"_win")*($U$7:$U$78))</f>
        <v>1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4</v>
      </c>
      <c r="AW15" s="126" cm="1">
        <f t="array" ref="AW15">SUMPRODUCT(($E$7:$E$78=AE15)*($U$7:$U$78)*($G$7:$G$78))+SUMPRODUCT(($H$7:$H$78=AE15)*($U$7:$U$78)*($F$7:$F$78))</f>
        <v>4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500.66666666666669</v>
      </c>
      <c r="BA15" s="126">
        <f>AZ15/AZ18</f>
        <v>0.9976751909664564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2</v>
      </c>
      <c r="BH15" s="126">
        <f>BB15/BB18*1000+BC15/BC18*100+BG15/BG18*10+BD15/BD18</f>
        <v>4</v>
      </c>
      <c r="BI15" s="126">
        <f>BH15/BH18</f>
        <v>7.8462142016477044E-3</v>
      </c>
      <c r="BK15" s="142"/>
      <c r="BL15" s="26" t="str">
        <f>IF(group_round_completed,VLOOKUP('3rd places'!I3,AK80:AS91,9,FALSE),"3rd Group C/D/F/G/H")</f>
        <v>United States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3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3</v>
      </c>
      <c r="L16" s="23">
        <f>VLOOKUP(2,AD14:AN17,3,FALSE)</f>
        <v>1</v>
      </c>
      <c r="M16" s="23">
        <f>VLOOKUP(2,AD14:AN17,4,FALSE)</f>
        <v>0</v>
      </c>
      <c r="N16" s="23">
        <f>VLOOKUP(2,AD14:AN17,5,FALSE)</f>
        <v>2</v>
      </c>
      <c r="O16" s="23" t="str">
        <f>VLOOKUP(2,AD14:AN17,6,FALSE) &amp; " - " &amp; VLOOKUP(2,AD14:AN17,7,FALSE)</f>
        <v>6 - 8</v>
      </c>
      <c r="P16" s="34">
        <f>L16*3+M16</f>
        <v>3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1</v>
      </c>
      <c r="AE16" s="124" t="str">
        <f>VLOOKUP("Qatar",T,lang,FALSE)</f>
        <v>Qatar</v>
      </c>
      <c r="AF16" s="123">
        <f>COUNTIF($S$7:$T$78,"=" &amp; AE16 &amp; "_win")</f>
        <v>3</v>
      </c>
      <c r="AG16" s="123">
        <f>COUNTIF($S$7:$T$78,"=" &amp; AE16 &amp; "_draw")</f>
        <v>0</v>
      </c>
      <c r="AH16" s="123">
        <f>COUNTIF($S$7:$T$78,"=" &amp; AE16 &amp; "_lose")</f>
        <v>0</v>
      </c>
      <c r="AI16" s="123">
        <f>SUMIF($E$7:$E$78,$AE16,$F$7:$F$78) + SUMIF($H$7:$H$78,$AE16,$G$7:$G$78)</f>
        <v>10</v>
      </c>
      <c r="AJ16" s="123">
        <f>SUMIF($E$7:$E$78,$AE16,$G$7:$G$78) + SUMIF($H$7:$H$78,$AE16,$F$7:$F$78)</f>
        <v>3</v>
      </c>
      <c r="AL16" s="123">
        <f>AI16-AJ16</f>
        <v>7</v>
      </c>
      <c r="AM16" s="123">
        <f>AL16-AL18</f>
        <v>10</v>
      </c>
      <c r="AN16" s="123">
        <f>AF16*3+AG16</f>
        <v>9</v>
      </c>
      <c r="AO16" s="123">
        <f>AN16/AN18*10+BA16</f>
        <v>9</v>
      </c>
      <c r="AP16" s="123">
        <f>AO16*10000000+BI16*100+AM16/AM18*10+AI16/AI18*1++IF(AQ16=0,ROW(),AQ16)/2000000</f>
        <v>90000010.785348892</v>
      </c>
      <c r="AQ16" s="126">
        <f>VLOOKUP(AE16,db_fifarank,2,FALSE)</f>
        <v>1454.96</v>
      </c>
      <c r="AR16" s="125">
        <f>AP16/AP18</f>
        <v>0.9999999888888903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2</v>
      </c>
      <c r="BH16" s="126">
        <f>BB16/BB18*1000+BC16/BC18*100+BG16/BG18*10+BD16/BD18</f>
        <v>4</v>
      </c>
      <c r="BI16" s="126">
        <f>BH16/BH18</f>
        <v>7.8462142016477044E-3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>Norway</v>
      </c>
      <c r="CA16" s="61">
        <v>1</v>
      </c>
      <c r="CB16" s="63"/>
      <c r="CC16" s="25"/>
      <c r="CD16" s="112">
        <f>IF(OR(CA16="",CA17="",AND(CB16="",CB17&lt;&gt;""),AND(CB17="",CB16&lt;&gt;""),AND(CC16="",CC17&lt;&gt;""),AND(CC17="",CC16&lt;&gt;"")),"",CA16*1000+CB16*10+CC16)</f>
        <v>1000</v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4</v>
      </c>
      <c r="G17" s="20">
        <v>2</v>
      </c>
      <c r="H17" s="80" t="str">
        <f>AE39</f>
        <v>Japan</v>
      </c>
      <c r="J17" s="33" t="str">
        <f>VLOOKUP(3,AD14:AN17,2,FALSE)</f>
        <v>Canada</v>
      </c>
      <c r="K17" s="23">
        <f>L17+M17+N17</f>
        <v>3</v>
      </c>
      <c r="L17" s="23">
        <f>VLOOKUP(3,AD14:AN17,3,FALSE)</f>
        <v>1</v>
      </c>
      <c r="M17" s="23">
        <f>VLOOKUP(3,AD14:AN17,4,FALSE)</f>
        <v>0</v>
      </c>
      <c r="N17" s="23">
        <f>VLOOKUP(3,AD14:AN17,5,FALSE)</f>
        <v>2</v>
      </c>
      <c r="O17" s="23" t="str">
        <f>VLOOKUP(3,AD14:AN17,6,FALSE) &amp; " - " &amp; VLOOKUP(3,AD14:AN17,7,FALSE)</f>
        <v>6 - 9</v>
      </c>
      <c r="P17" s="34">
        <f>L17*3+M17</f>
        <v>3</v>
      </c>
      <c r="R17" s="123">
        <f>DATE(2026,6,14)+TIME(9,0,0)+gmt_delta</f>
        <v>46187.833333333336</v>
      </c>
      <c r="S17" s="127" t="str">
        <f t="shared" si="1"/>
        <v>Netherlands_win</v>
      </c>
      <c r="T17" s="127" t="str">
        <f t="shared" si="2"/>
        <v>Japan_lose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1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0</v>
      </c>
      <c r="AH17" s="123">
        <f>COUNTIF($S$7:$T$78,"=" &amp; AE17 &amp; "_lose")</f>
        <v>2</v>
      </c>
      <c r="AI17" s="123">
        <f>SUMIF($E$7:$E$78,$AE17,$F$7:$F$78) + SUMIF($H$7:$H$78,$AE17,$G$7:$G$78)</f>
        <v>6</v>
      </c>
      <c r="AJ17" s="123">
        <f>SUMIF($E$7:$E$78,$AE17,$G$7:$G$78) + SUMIF($H$7:$H$78,$AE17,$F$7:$F$78)</f>
        <v>8</v>
      </c>
      <c r="AL17" s="123">
        <f>AI17-AJ17</f>
        <v>-2</v>
      </c>
      <c r="AM17" s="123">
        <f>AL17-AL18</f>
        <v>1</v>
      </c>
      <c r="AN17" s="123">
        <f>AF17*3+AG17</f>
        <v>3</v>
      </c>
      <c r="AO17" s="123">
        <f>AN17/AN18*10+BA17</f>
        <v>3.9980073065426769</v>
      </c>
      <c r="AP17" s="123">
        <f>AO17*10000000+BI17*100+AM17/AM18*10+AI17/AI18*1++IF(AQ17=0,ROW(),AQ17)/2000000</f>
        <v>39980174.324641563</v>
      </c>
      <c r="AQ17" s="126">
        <f>VLOOKUP(AE17,db_fifarank,2,FALSE)</f>
        <v>1649.4</v>
      </c>
      <c r="AR17" s="125">
        <f>AP17/AP18</f>
        <v>0.44422410099228388</v>
      </c>
      <c r="AT17" s="126" cm="1">
        <f t="array" ref="AT17">SUMPRODUCT(($S$7:$S$78=AE17&amp;"_win")*($U$7:$U$78))+SUMPRODUCT(($T$7:$T$78=AE17&amp;"_win")*($U$7:$U$78))</f>
        <v>1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5</v>
      </c>
      <c r="AW17" s="126" cm="1">
        <f t="array" ref="AW17">SUMPRODUCT(($E$7:$E$78=AE17)*($U$7:$U$78)*($G$7:$G$78))+SUMPRODUCT(($H$7:$H$78=AE17)*($U$7:$U$78)*($F$7:$F$78))</f>
        <v>5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500.83333333333331</v>
      </c>
      <c r="BA17" s="126">
        <f>AZ17/AZ18</f>
        <v>0.99800730654267689</v>
      </c>
      <c r="BB17" s="126" cm="1">
        <f t="array" ref="BB17">SUMPRODUCT(($S$7:$S$78=AE17&amp;"_win")*($X$7:$X$78))+SUMPRODUCT(($T$7:$T$78=AE17&amp;"_win")*($X$7:$X$78))</f>
        <v>1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4</v>
      </c>
      <c r="BE17" s="126" cm="1">
        <f t="array" ref="BE17">SUMPRODUCT(($E$7:$E$78=AE17)*($X$7:$X$78)*($G$7:$G$78))+SUMPRODUCT(($H$7:$H$78=AE17)*($X$7:$X$78)*($F$7:$F$78))</f>
        <v>2</v>
      </c>
      <c r="BF17" s="126">
        <f>BD17-BE17</f>
        <v>2</v>
      </c>
      <c r="BG17" s="126">
        <f>BF17-MIN(BF14:BF17)</f>
        <v>4</v>
      </c>
      <c r="BH17" s="126">
        <f>BB17/BB18*1000+BC17/BC18*100+BG17/BG18*10+BD17/BD18</f>
        <v>508.8</v>
      </c>
      <c r="BI17" s="126">
        <f>BH17/BH18</f>
        <v>0.99803844644958806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>Scotland</v>
      </c>
      <c r="CA17" s="62">
        <v>0</v>
      </c>
      <c r="CB17" s="64"/>
      <c r="CC17" s="27"/>
      <c r="CD17" s="113">
        <f>IF(CD16="","",CA17*1000+CB17*10+CC17)</f>
        <v>0</v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1</v>
      </c>
      <c r="G18" s="20">
        <v>3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3</v>
      </c>
      <c r="L18" s="36">
        <f>VLOOKUP(4,AD14:AN17,3,FALSE)</f>
        <v>1</v>
      </c>
      <c r="M18" s="36">
        <f>VLOOKUP(4,AD14:AN17,4,FALSE)</f>
        <v>0</v>
      </c>
      <c r="N18" s="36">
        <f>VLOOKUP(4,AD14:AN17,5,FALSE)</f>
        <v>2</v>
      </c>
      <c r="O18" s="36" t="str">
        <f>VLOOKUP(4,AD14:AN17,6,FALSE) &amp; " - " &amp; VLOOKUP(4,AD14:AN17,7,FALSE)</f>
        <v>5 - 7</v>
      </c>
      <c r="P18" s="37">
        <f>L18*3+M18</f>
        <v>3</v>
      </c>
      <c r="R18" s="123">
        <f>DATE(2026,6,14)+TIME(15,0,0)+gmt_delta</f>
        <v>46188.083333333336</v>
      </c>
      <c r="S18" s="127" t="str">
        <f t="shared" si="1"/>
        <v>Sweden_lose</v>
      </c>
      <c r="T18" s="127" t="str">
        <f t="shared" si="2"/>
        <v>Tunisia_win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-1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11</v>
      </c>
      <c r="AL18" s="123">
        <f>MIN(AL14:AL17)</f>
        <v>-3</v>
      </c>
      <c r="AM18" s="123">
        <f>MAX(AM14:AM17)+1</f>
        <v>11</v>
      </c>
      <c r="AN18" s="123">
        <f>MAX(AN14:AN17)+1</f>
        <v>10</v>
      </c>
      <c r="AO18" s="123">
        <f>MAX(AO14:AO17)+1</f>
        <v>10</v>
      </c>
      <c r="AP18" s="123">
        <f>MAX(AP14:AP17)+1</f>
        <v>90000011.785348892</v>
      </c>
      <c r="AT18" s="126">
        <f>MAX(AT14:AT17)-MIN(AT14:AT17)+1</f>
        <v>2</v>
      </c>
      <c r="AU18" s="126">
        <f>MAX(AU14:AU17)-MIN(AU14:AU17)+1</f>
        <v>1</v>
      </c>
      <c r="AV18" s="126">
        <f>MAX(AV14:AV17)-MIN(AV14:AV17)+1</f>
        <v>6</v>
      </c>
      <c r="AW18" s="126">
        <f>MAX(AW14:AW17)-MIN(AW14:AW17)+1</f>
        <v>6</v>
      </c>
      <c r="AY18" s="126">
        <f>MAX(AY14:AY17)-MIN(AY14:AY17)+1</f>
        <v>1</v>
      </c>
      <c r="AZ18" s="126">
        <f>MAX(AZ14:AZ17)+1</f>
        <v>501.83333333333331</v>
      </c>
      <c r="BB18" s="126">
        <f>MAX(BB14:BB17)-MIN(BB14:BB17)+1</f>
        <v>2</v>
      </c>
      <c r="BC18" s="126">
        <f>MAX(BC14:BC17)-MIN(BC14:BC17)+1</f>
        <v>1</v>
      </c>
      <c r="BD18" s="126">
        <f>MAX(BD14:BD17)-MIN(BD14:BD17)+1</f>
        <v>5</v>
      </c>
      <c r="BE18" s="126">
        <f>MAX(BE14:BE17)-MIN(BE14:BE17)+1</f>
        <v>5</v>
      </c>
      <c r="BG18" s="126">
        <f>MAX(BG14:BG17)-MIN(BG14:BG17)+1</f>
        <v>5</v>
      </c>
      <c r="BH18" s="126">
        <f>MAX(BH14:BH17)+1</f>
        <v>509.8</v>
      </c>
      <c r="BK18" s="141">
        <v>73</v>
      </c>
      <c r="BL18" s="24" t="str">
        <f>AS9</f>
        <v>Czech Republic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3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Arabia_win</v>
      </c>
      <c r="T19" s="127" t="str">
        <f t="shared" si="2"/>
        <v>Uruguay_lose</v>
      </c>
      <c r="U19" s="123">
        <f t="shared" si="8"/>
        <v>1</v>
      </c>
      <c r="V19" s="123">
        <f t="shared" si="3"/>
        <v>3</v>
      </c>
      <c r="W19" s="123">
        <f t="shared" si="4"/>
        <v>1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1</v>
      </c>
      <c r="BK19" s="142"/>
      <c r="BL19" s="26" t="str">
        <f>AS15</f>
        <v>Switzerland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4</v>
      </c>
      <c r="G20" s="20">
        <v>2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Spain_win</v>
      </c>
      <c r="T20" s="127" t="str">
        <f t="shared" si="2"/>
        <v>Cape Verde_lose</v>
      </c>
      <c r="U20" s="123">
        <f t="shared" si="8"/>
        <v>1</v>
      </c>
      <c r="V20" s="123">
        <f t="shared" si="3"/>
        <v>4</v>
      </c>
      <c r="W20" s="123">
        <f t="shared" si="4"/>
        <v>2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1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3</v>
      </c>
      <c r="AG20" s="123">
        <f>COUNTIF($S$7:$T$78,"=" &amp; AE20 &amp; "_draw")</f>
        <v>0</v>
      </c>
      <c r="AH20" s="123">
        <f>COUNTIF($S$7:$T$78,"=" &amp; AE20 &amp; "_lose")</f>
        <v>0</v>
      </c>
      <c r="AI20" s="123">
        <f>SUMIF($E$7:$E$78,$AE20,$F$7:$F$78) + SUMIF($H$7:$H$78,$AE20,$G$7:$G$78)</f>
        <v>9</v>
      </c>
      <c r="AJ20" s="123">
        <f>SUMIF($E$7:$E$78,$AE20,$G$7:$G$78) + SUMIF($H$7:$H$78,$AE20,$F$7:$F$78)</f>
        <v>3</v>
      </c>
      <c r="AL20" s="123">
        <f>AI20-AJ20</f>
        <v>6</v>
      </c>
      <c r="AM20" s="123">
        <f>AL20-AL24</f>
        <v>12</v>
      </c>
      <c r="AN20" s="123">
        <f>AF20*3+AG20</f>
        <v>9</v>
      </c>
      <c r="AO20" s="123">
        <f>AN20/AN24*10+BA20</f>
        <v>9</v>
      </c>
      <c r="AP20" s="123">
        <f>AO20*10000000+BI20*100+AM20/AM24*10+AI20/AI24*1++IF(AQ20=0,ROW(),AQ20)/2000000</f>
        <v>90000010.131649822</v>
      </c>
      <c r="AQ20" s="126">
        <f>VLOOKUP(AE20,db_fifarank,2,FALSE)</f>
        <v>1761.16</v>
      </c>
      <c r="AR20" s="125">
        <f>AP20/AP24</f>
        <v>0.9999999888888903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0</v>
      </c>
      <c r="AV20" s="126" cm="1">
        <f t="array" ref="AV20">SUMPRODUCT(($E$7:$E$78=AE20)*($U$7:$U$78)*($F$7:$F$78))+SUMPRODUCT(($H$7:$H$78=AE20)*($U$7:$U$78)*($G$7:$G$78))</f>
        <v>0</v>
      </c>
      <c r="AW20" s="126" cm="1">
        <f t="array" ref="AW20">SUMPRODUCT(($E$7:$E$78=AE20)*($U$7:$U$78)*($G$7:$G$78))+SUMPRODUCT(($H$7:$H$78=AE20)*($U$7:$U$78)*($F$7:$F$78))</f>
        <v>0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0</v>
      </c>
      <c r="BA20" s="126">
        <f>AZ20/AZ24</f>
        <v>0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0</v>
      </c>
      <c r="BD20" s="126" cm="1">
        <f t="array" ref="BD20">SUMPRODUCT(($E$7:$E$78=AE20)*($X$7:$X$78)*($F$7:$F$78))+SUMPRODUCT(($H$7:$H$78=AE20)*($X$7:$X$78)*($G$7:$G$78))</f>
        <v>0</v>
      </c>
      <c r="BE20" s="126" cm="1">
        <f t="array" ref="BE20">SUMPRODUCT(($E$7:$E$78=AE20)*($X$7:$X$78)*($G$7:$G$78))+SUMPRODUCT(($H$7:$H$78=AE20)*($X$7:$X$78)*($F$7:$F$78))</f>
        <v>0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0</v>
      </c>
      <c r="BI20" s="126">
        <f>BH20/BH24</f>
        <v>0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>Switzerland</v>
      </c>
      <c r="BT20" s="61">
        <v>0</v>
      </c>
      <c r="BU20" s="63"/>
      <c r="BV20" s="25"/>
      <c r="BW20" s="116">
        <f>IF(OR(BT20="",BT21="",AND(BU20="",BU21&lt;&gt;""),AND(BU21="",BU20&lt;&gt;""),AND(BV20="",BV21&lt;&gt;""),AND(BV21="",BV20&lt;&gt;"")),"",BT20*1000+BU20*10+BV20)</f>
        <v>0</v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1</v>
      </c>
      <c r="G21" s="20">
        <v>3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3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9 - 3</v>
      </c>
      <c r="P21" s="32">
        <f>L21*3+M21</f>
        <v>9</v>
      </c>
      <c r="R21" s="123">
        <f>DATE(2026,6,15)+TIME(14,0,0)+gmt_delta</f>
        <v>46189.041666666672</v>
      </c>
      <c r="S21" s="127" t="str">
        <f t="shared" si="1"/>
        <v>Iran_lose</v>
      </c>
      <c r="T21" s="127" t="str">
        <f t="shared" si="2"/>
        <v>New Zealand_win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-1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0</v>
      </c>
      <c r="AH21" s="123">
        <f>COUNTIF($S$7:$T$78,"=" &amp; AE21 &amp; "_lose")</f>
        <v>2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6</v>
      </c>
      <c r="AL21" s="123">
        <f>AI21-AJ21</f>
        <v>0</v>
      </c>
      <c r="AM21" s="123">
        <f>AL21-AL24</f>
        <v>6</v>
      </c>
      <c r="AN21" s="123">
        <f>AF21*3+AG21</f>
        <v>3</v>
      </c>
      <c r="AO21" s="123">
        <f>AN21/AN24*10+BA21</f>
        <v>3</v>
      </c>
      <c r="AP21" s="123">
        <f>AO21*10000000+BI21*100+AM21/AM24*10+AI21/AI24*1++IF(AQ21=0,ROW(),AQ21)/2000000</f>
        <v>30000005.216262553</v>
      </c>
      <c r="AQ21" s="126">
        <f>VLOOKUP(AE21,db_fifarank,2,FALSE)</f>
        <v>1755.87</v>
      </c>
      <c r="AR21" s="125">
        <f>AP21/AP24</f>
        <v>0.33333335006347142</v>
      </c>
      <c r="AS21" s="125" t="str">
        <f>IF(SUM(AF20:AH23)=12,J22,"2C")</f>
        <v>Scotland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0</v>
      </c>
      <c r="AV21" s="126" cm="1">
        <f t="array" ref="AV21">SUMPRODUCT(($E$7:$E$78=AE21)*($U$7:$U$78)*($F$7:$F$78))+SUMPRODUCT(($H$7:$H$78=AE21)*($U$7:$U$78)*($G$7:$G$78))</f>
        <v>0</v>
      </c>
      <c r="AW21" s="126" cm="1">
        <f t="array" ref="AW21">SUMPRODUCT(($E$7:$E$78=AE21)*($U$7:$U$78)*($G$7:$G$78))+SUMPRODUCT(($H$7:$H$78=AE21)*($U$7:$U$78)*($F$7:$F$78))</f>
        <v>0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0</v>
      </c>
      <c r="BA21" s="126">
        <f>AZ21/AZ24</f>
        <v>0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0</v>
      </c>
      <c r="BD21" s="126" cm="1">
        <f t="array" ref="BD21">SUMPRODUCT(($E$7:$E$78=AE21)*($X$7:$X$78)*($F$7:$F$78))+SUMPRODUCT(($H$7:$H$78=AE21)*($X$7:$X$78)*($G$7:$G$78))</f>
        <v>0</v>
      </c>
      <c r="BE21" s="126" cm="1">
        <f t="array" ref="BE21">SUMPRODUCT(($E$7:$E$78=AE21)*($X$7:$X$78)*($G$7:$G$78))+SUMPRODUCT(($H$7:$H$78=AE21)*($X$7:$X$78)*($F$7:$F$78))</f>
        <v>0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0</v>
      </c>
      <c r="BI21" s="126">
        <f>BH21/BH24</f>
        <v>0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>Scotland</v>
      </c>
      <c r="BT21" s="62">
        <v>1</v>
      </c>
      <c r="BU21" s="64"/>
      <c r="BV21" s="27"/>
      <c r="BW21" s="112">
        <f>IF(BW20="","",BT21*1000+BU21*10+BV21)</f>
        <v>1000</v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4</v>
      </c>
      <c r="H22" s="80" t="str">
        <f>AE45</f>
        <v>Egypt</v>
      </c>
      <c r="J22" s="33" t="str">
        <f>VLOOKUP(2,AD20:AN23,2,FALSE)</f>
        <v>Scotland</v>
      </c>
      <c r="K22" s="23">
        <f>L22+M22+N22</f>
        <v>3</v>
      </c>
      <c r="L22" s="23">
        <f>VLOOKUP(2,AD20:AN23,3,FALSE)</f>
        <v>2</v>
      </c>
      <c r="M22" s="23">
        <f>VLOOKUP(2,AD20:AN23,4,FALSE)</f>
        <v>0</v>
      </c>
      <c r="N22" s="23">
        <f>VLOOKUP(2,AD20:AN23,5,FALSE)</f>
        <v>1</v>
      </c>
      <c r="O22" s="23" t="str">
        <f>VLOOKUP(2,AD20:AN23,6,FALSE) &amp; " - " &amp; VLOOKUP(2,AD20:AN23,7,FALSE)</f>
        <v>7 - 7</v>
      </c>
      <c r="P22" s="34">
        <f>L22*3+M22</f>
        <v>6</v>
      </c>
      <c r="R22" s="123">
        <f>DATE(2026,6,15)+TIME(8,0,0)+gmt_delta</f>
        <v>46188.791666666672</v>
      </c>
      <c r="S22" s="127" t="str">
        <f t="shared" si="1"/>
        <v>Belgium_lose</v>
      </c>
      <c r="T22" s="127" t="str">
        <f t="shared" si="2"/>
        <v>Egypt_win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-1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3</v>
      </c>
      <c r="AJ22" s="123">
        <f>SUMIF($E$7:$E$78,$AE22,$G$7:$G$78) + SUMIF($H$7:$H$78,$AE22,$F$7:$F$78)</f>
        <v>9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0.30064585499999996</v>
      </c>
      <c r="AQ22" s="126">
        <f>VLOOKUP(AE22,db_fifarank,2,FALSE)</f>
        <v>1291.71</v>
      </c>
      <c r="AR22" s="125">
        <f>AP22/AP24</f>
        <v>3.34050908682914E-9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Tunisia</v>
      </c>
      <c r="BM22" s="61">
        <v>0</v>
      </c>
      <c r="BN22" s="63"/>
      <c r="BO22" s="25"/>
      <c r="BP22" s="116">
        <f>IF(OR(BM22="",BM23="",AND(BN22="",BN23&lt;&gt;""),AND(BN23="",BN22&lt;&gt;""),AND(BO22="",BO23&lt;&gt;""),AND(BO23="",BO22&lt;&gt;"")),"",BM22*1000+BN22*10+BO22)</f>
        <v>0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2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6 - 6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2</v>
      </c>
      <c r="AE23" s="124" t="str">
        <f>VLOOKUP("Scotland",T,lang,FALSE)</f>
        <v>Scotland</v>
      </c>
      <c r="AF23" s="123">
        <f>COUNTIF($S$7:$T$78,"=" &amp; AE23 &amp; "_win")</f>
        <v>2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7</v>
      </c>
      <c r="AJ23" s="123">
        <f>SUMIF($E$7:$E$78,$AE23,$G$7:$G$78) + SUMIF($H$7:$H$78,$AE23,$F$7:$F$78)</f>
        <v>7</v>
      </c>
      <c r="AL23" s="123">
        <f>AI23-AJ23</f>
        <v>0</v>
      </c>
      <c r="AM23" s="123">
        <f>AL23-AL24</f>
        <v>6</v>
      </c>
      <c r="AN23" s="123">
        <f>AF23*3+AG23</f>
        <v>6</v>
      </c>
      <c r="AO23" s="123">
        <f>AN23/AN24*10+BA23</f>
        <v>6</v>
      </c>
      <c r="AP23" s="123">
        <f>AO23*10000000+BI23*100+AM23/AM24*10+AI23/AI24*1++IF(AQ23=0,ROW(),AQ23)/2000000</f>
        <v>60000005.316133797</v>
      </c>
      <c r="AQ23" s="126">
        <f>VLOOKUP(AE23,db_fifarank,2,FALSE)</f>
        <v>1498.35</v>
      </c>
      <c r="AR23" s="125">
        <f>AP23/AP24</f>
        <v>0.6666666432781575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Scotland</v>
      </c>
      <c r="BM23" s="62">
        <v>1</v>
      </c>
      <c r="BN23" s="64"/>
      <c r="BO23" s="27"/>
      <c r="BP23" s="112">
        <f>IF(BP22="","",BM23*1000+BN23*10+BO23)</f>
        <v>1000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>Norway</v>
      </c>
      <c r="CH23" s="61">
        <v>0</v>
      </c>
      <c r="CI23" s="63"/>
      <c r="CJ23" s="25"/>
      <c r="CK23" s="112">
        <f>IF(OR(CH23="",CH24="",AND(CI23="",CI24&lt;&gt;""),AND(CI24="",CI23&lt;&gt;""),AND(CJ23="",CJ24&lt;&gt;""),AND(CJ24="",CJ23&lt;&gt;"")),"",CH23*1000+CI23*10+CJ23)</f>
        <v>0</v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3</v>
      </c>
      <c r="G24" s="20">
        <v>1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3 - 9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Iraq_win</v>
      </c>
      <c r="T24" s="127" t="str">
        <f t="shared" si="2"/>
        <v>Norway_lose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1</v>
      </c>
      <c r="AF24" s="123">
        <f t="shared" ref="AF24:AH24" si="14">MAX(AF20:AF23)-MIN(AF20:AF23)+1</f>
        <v>4</v>
      </c>
      <c r="AG24" s="123">
        <f t="shared" si="14"/>
        <v>1</v>
      </c>
      <c r="AH24" s="123">
        <f t="shared" si="14"/>
        <v>4</v>
      </c>
      <c r="AI24" s="123">
        <f>MAX(AI20:AI23)+1</f>
        <v>10</v>
      </c>
      <c r="AL24" s="123">
        <f>MIN(AL20:AL23)</f>
        <v>-6</v>
      </c>
      <c r="AM24" s="123">
        <f>MAX(AM20:AM23)+1</f>
        <v>13</v>
      </c>
      <c r="AN24" s="123">
        <f>MAX(AN20:AN23)+1</f>
        <v>10</v>
      </c>
      <c r="AO24" s="123">
        <f>MAX(AO20:AO23)+1</f>
        <v>10</v>
      </c>
      <c r="AP24" s="123">
        <f>MAX(AP20:AP23)+1</f>
        <v>90000011.131649822</v>
      </c>
      <c r="AT24" s="126">
        <f>MAX(AT20:AT23)-MIN(AT20:AT23)+1</f>
        <v>1</v>
      </c>
      <c r="AU24" s="126">
        <f>MAX(AU20:AU23)-MIN(AU20:AU23)+1</f>
        <v>1</v>
      </c>
      <c r="AV24" s="126">
        <f>MAX(AV20:AV23)-MIN(AV20:AV23)+1</f>
        <v>1</v>
      </c>
      <c r="AW24" s="126">
        <f>MAX(AW20:AW23)-MIN(AW20:AW23)+1</f>
        <v>1</v>
      </c>
      <c r="AY24" s="126">
        <f>MAX(AY20:AY23)-MIN(AY20:AY23)+1</f>
        <v>1</v>
      </c>
      <c r="AZ24" s="126">
        <f>MAX(AZ20:AZ23)+1</f>
        <v>1</v>
      </c>
      <c r="BB24" s="126">
        <f>MAX(BB20:BB23)-MIN(BB20:BB23)+1</f>
        <v>1</v>
      </c>
      <c r="BC24" s="126">
        <f>MAX(BC20:BC23)-MIN(BC20:BC23)+1</f>
        <v>1</v>
      </c>
      <c r="BD24" s="126">
        <f>MAX(BD20:BD23)-MIN(BD20:BD23)+1</f>
        <v>1</v>
      </c>
      <c r="BE24" s="126">
        <f>MAX(BE20:BE23)-MIN(BE20:BE23)+1</f>
        <v>1</v>
      </c>
      <c r="BG24" s="126">
        <f>MAX(BG20:BG23)-MIN(BG20:BG23)+1</f>
        <v>1</v>
      </c>
      <c r="BH24" s="126">
        <f>MAX(BH20:BH23)+1</f>
        <v>1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>Spain</v>
      </c>
      <c r="CH24" s="62">
        <v>1</v>
      </c>
      <c r="CI24" s="64"/>
      <c r="CJ24" s="27"/>
      <c r="CK24" s="113">
        <f>IF(CK23="","",CH24*1000+CI24*10+CJ24)</f>
        <v>1000</v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2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4</v>
      </c>
      <c r="G26" s="20">
        <v>2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3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2</v>
      </c>
      <c r="AI26" s="123">
        <f>SUMIF($E$7:$E$78,$AE26,$F$7:$F$78) + SUMIF($H$7:$H$78,$AE26,$G$7:$G$78)</f>
        <v>7</v>
      </c>
      <c r="AJ26" s="123">
        <f>SUMIF($E$7:$E$78,$AE26,$G$7:$G$78) + SUMIF($H$7:$H$78,$AE26,$F$7:$F$78)</f>
        <v>9</v>
      </c>
      <c r="AL26" s="123">
        <f>AI26-AJ26</f>
        <v>-2</v>
      </c>
      <c r="AM26" s="123">
        <f>AL26-AL30</f>
        <v>0</v>
      </c>
      <c r="AN26" s="123">
        <f>AF26*3+AG26</f>
        <v>3</v>
      </c>
      <c r="AO26" s="123">
        <f>AN26/AN30*10+BA26</f>
        <v>5.2809577104484768</v>
      </c>
      <c r="AP26" s="123">
        <f>AO26*10000000+BI26*100+AM26/AM30*10+AI26/AI30*1++IF(AQ26=0,ROW(),AQ26)/2000000</f>
        <v>52809577.805321336</v>
      </c>
      <c r="AQ26" s="126">
        <f>VLOOKUP(AE26,db_fifarank,2,FALSE)</f>
        <v>1673.13</v>
      </c>
      <c r="AR26" s="125">
        <f>AP26/AP30</f>
        <v>0.55185472594601936</v>
      </c>
      <c r="AS26" s="125" t="str">
        <f>IF(SUM(AF26:AH29)=12,J27,"1D")</f>
        <v>Turkey</v>
      </c>
      <c r="AT26" s="126" cm="1">
        <f t="array" ref="AT26">SUMPRODUCT(($S$7:$S$78=AE26&amp;"_win")*($U$7:$U$78))+SUMPRODUCT(($T$7:$T$78=AE26&amp;"_win")*($U$7:$U$78))</f>
        <v>1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4</v>
      </c>
      <c r="AW26" s="126" cm="1">
        <f t="array" ref="AW26">SUMPRODUCT(($E$7:$E$78=AE26)*($U$7:$U$78)*($G$7:$G$78))+SUMPRODUCT(($H$7:$H$78=AE26)*($U$7:$U$78)*($F$7:$F$78))</f>
        <v>2</v>
      </c>
      <c r="AX26" s="126">
        <f>AV26-AW26</f>
        <v>2</v>
      </c>
      <c r="AY26" s="126">
        <f>AX26-MIN(AX26:AX29)</f>
        <v>5</v>
      </c>
      <c r="AZ26" s="126">
        <f>AT26/AT30*1000+AU26/AU30*100+AY26/AY30*10+AV26/AV30</f>
        <v>508.14285714285717</v>
      </c>
      <c r="BA26" s="126">
        <f>AZ26/AZ30</f>
        <v>0.99524342473419147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DR Congo</v>
      </c>
      <c r="BM26" s="61">
        <v>0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3</v>
      </c>
      <c r="H27" s="80" t="str">
        <f>AE77</f>
        <v>Panama</v>
      </c>
      <c r="J27" s="30" t="str">
        <f>VLOOKUP(1,AD26:AN29,2,FALSE)</f>
        <v>Turkey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9 - 7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Ghana_lose</v>
      </c>
      <c r="T27" s="127" t="str">
        <f t="shared" si="2"/>
        <v>Panama_win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-1</v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2</v>
      </c>
      <c r="AI27" s="123">
        <f>SUMIF($E$7:$E$78,$AE27,$F$7:$F$78) + SUMIF($H$7:$H$78,$AE27,$G$7:$G$78)</f>
        <v>7</v>
      </c>
      <c r="AJ27" s="123">
        <f>SUMIF($E$7:$E$78,$AE27,$G$7:$G$78) + SUMIF($H$7:$H$78,$AE27,$F$7:$F$78)</f>
        <v>8</v>
      </c>
      <c r="AL27" s="123">
        <f>AI27-AJ27</f>
        <v>-1</v>
      </c>
      <c r="AM27" s="123">
        <f>AL27-AL30</f>
        <v>1</v>
      </c>
      <c r="AN27" s="123">
        <f>AF27*3+AG27</f>
        <v>3</v>
      </c>
      <c r="AO27" s="123">
        <f>AN27/AN30*10+BA27</f>
        <v>4.289491566072428</v>
      </c>
      <c r="AP27" s="123">
        <f>AO27*10000000+BI27*100+AM27/AM30*10+AI27/AI30*1++IF(AQ27=0,ROW(),AQ27)/2000000</f>
        <v>42894918.361476034</v>
      </c>
      <c r="AQ27" s="126">
        <f>VLOOKUP(AE27,db_fifarank,2,FALSE)</f>
        <v>1503.5</v>
      </c>
      <c r="AR27" s="125">
        <f>AP27/AP30</f>
        <v>0.44824754146138912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2</v>
      </c>
      <c r="AW27" s="126" cm="1">
        <f t="array" ref="AW27">SUMPRODUCT(($E$7:$E$78=AE27)*($U$7:$U$78)*($G$7:$G$78))+SUMPRODUCT(($H$7:$H$78=AE27)*($U$7:$U$78)*($F$7:$F$78))</f>
        <v>4</v>
      </c>
      <c r="AX27" s="126">
        <f>AV27-AW27</f>
        <v>-2</v>
      </c>
      <c r="AY27" s="126">
        <f>AX27-MIN(AX26:AX29)</f>
        <v>1</v>
      </c>
      <c r="AZ27" s="126">
        <f>AT27/AT30*1000+AU27/AU30*100+AY27/AY30*10+AV27/AV30</f>
        <v>1.9285714285714284</v>
      </c>
      <c r="BA27" s="126">
        <f>AZ27/AZ30</f>
        <v>3.7772803581421375E-3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Panama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1</v>
      </c>
      <c r="G28" s="20">
        <v>4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2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7 - 6</v>
      </c>
      <c r="P28" s="34">
        <f>L28*3+M28</f>
        <v>6</v>
      </c>
      <c r="R28" s="123">
        <f>DATE(2026,6,17)+TIME(9,0,0)+gmt_delta</f>
        <v>46190.833333333336</v>
      </c>
      <c r="S28" s="127" t="str">
        <f t="shared" si="1"/>
        <v>England_lose</v>
      </c>
      <c r="T28" s="127" t="str">
        <f t="shared" si="2"/>
        <v>Croatia_win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-1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2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7</v>
      </c>
      <c r="AJ28" s="123">
        <f>SUMIF($E$7:$E$78,$AE28,$G$7:$G$78) + SUMIF($H$7:$H$78,$AE28,$F$7:$F$78)</f>
        <v>6</v>
      </c>
      <c r="AL28" s="123">
        <f>AI28-AJ28</f>
        <v>1</v>
      </c>
      <c r="AM28" s="123">
        <f>AL28-AL30</f>
        <v>3</v>
      </c>
      <c r="AN28" s="123">
        <f>AF28*3+AG28</f>
        <v>6</v>
      </c>
      <c r="AO28" s="123">
        <f>AN28/AN30*10+BA28</f>
        <v>8.5719182188824039</v>
      </c>
      <c r="AP28" s="123">
        <f>AO28*10000000+BI28*100+AM28/AM30*10+AI28/AI30*1++IF(AQ28=0,ROW(),AQ28)/2000000</f>
        <v>85719188.889614373</v>
      </c>
      <c r="AQ28" s="126">
        <f>VLOOKUP(AE28,db_fifarank,2,FALSE)</f>
        <v>1580.67</v>
      </c>
      <c r="AR28" s="125">
        <f>AP28/AP30</f>
        <v>0.89575682023775971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1</v>
      </c>
      <c r="AW28" s="126" cm="1">
        <f t="array" ref="AW28">SUMPRODUCT(($E$7:$E$78=AE28)*($U$7:$U$78)*($G$7:$G$78))+SUMPRODUCT(($H$7:$H$78=AE28)*($U$7:$U$78)*($F$7:$F$78))</f>
        <v>4</v>
      </c>
      <c r="AX28" s="126">
        <f>AV28-AW28</f>
        <v>-3</v>
      </c>
      <c r="AY28" s="126">
        <f>AX28-MIN(AX26:AX29)</f>
        <v>0</v>
      </c>
      <c r="AZ28" s="126">
        <f>AT28/AT30*1000+AU28/AU30*100+AY28/AY30*10+AV28/AV30</f>
        <v>0.25</v>
      </c>
      <c r="BA28" s="126">
        <f>AZ28/AZ30</f>
        <v>4.8964745383324004E-4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>Panama</v>
      </c>
      <c r="BT28" s="61">
        <v>0</v>
      </c>
      <c r="BU28" s="63"/>
      <c r="BV28" s="25"/>
      <c r="BW28" s="112">
        <f>IF(OR(BT28="",BT29="",AND(BU28="",BU29&lt;&gt;""),AND(BU29="",BU28&lt;&gt;""),AND(BV28="",BV29&lt;&gt;""),AND(BV29="",BV28&lt;&gt;"")),"",BT28*1000+BU28*10+BV28)</f>
        <v>0</v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2</v>
      </c>
      <c r="G29" s="20">
        <v>1</v>
      </c>
      <c r="H29" s="80" t="str">
        <f>AE69</f>
        <v>DR Congo</v>
      </c>
      <c r="J29" s="33" t="str">
        <f>VLOOKUP(3,AD26:AN29,2,FALSE)</f>
        <v>United States</v>
      </c>
      <c r="K29" s="23">
        <f>L29+M29+N29</f>
        <v>3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2</v>
      </c>
      <c r="O29" s="23" t="str">
        <f>VLOOKUP(3,AD26:AN29,6,FALSE) &amp; " - " &amp; VLOOKUP(3,AD26:AN29,7,FALSE)</f>
        <v>7 - 9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Portugal_win</v>
      </c>
      <c r="T29" s="127" t="str">
        <f t="shared" si="2"/>
        <v>DR Congo_lose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1</v>
      </c>
      <c r="AD29" s="123">
        <f>COUNTIF(AR26:AR29,CONCATENATE("&gt;=",AR29))</f>
        <v>1</v>
      </c>
      <c r="AE29" s="124" t="str">
        <f>VLOOKUP("Turkey",T,lang,FALSE)</f>
        <v>Turkey</v>
      </c>
      <c r="AF29" s="123">
        <f>COUNTIF($S$7:$T$78,"=" &amp; AE29 &amp; "_win")</f>
        <v>2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9</v>
      </c>
      <c r="AJ29" s="123">
        <f>SUMIF($E$7:$E$78,$AE29,$G$7:$G$78) + SUMIF($H$7:$H$78,$AE29,$F$7:$F$78)</f>
        <v>7</v>
      </c>
      <c r="AL29" s="123">
        <f>AI29-AJ29</f>
        <v>2</v>
      </c>
      <c r="AM29" s="123">
        <f>AL29-AL30</f>
        <v>4</v>
      </c>
      <c r="AN29" s="123">
        <f>AF29*3+AG29</f>
        <v>6</v>
      </c>
      <c r="AO29" s="123">
        <f>AN29/AN30*10+BA29</f>
        <v>9.5694699816132385</v>
      </c>
      <c r="AP29" s="123">
        <f>AO29*10000000+BI29*100+AM29/AM30*10+AI29/AI30*1++IF(AQ29=0,ROW(),AQ29)/2000000</f>
        <v>95694708.716931909</v>
      </c>
      <c r="AQ29" s="126">
        <f>VLOOKUP(AE29,db_fifarank,2,FALSE)</f>
        <v>1599.04</v>
      </c>
      <c r="AR29" s="125">
        <f>AP29/AP30</f>
        <v>0.9999999895501015</v>
      </c>
      <c r="AT29" s="126" cm="1">
        <f t="array" ref="AT29">SUMPRODUCT(($S$7:$S$78=AE29&amp;"_win")*($U$7:$U$78))+SUMPRODUCT(($T$7:$T$78=AE29&amp;"_win")*($U$7:$U$78))</f>
        <v>1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4</v>
      </c>
      <c r="AW29" s="126" cm="1">
        <f t="array" ref="AW29">SUMPRODUCT(($E$7:$E$78=AE29)*($U$7:$U$78)*($G$7:$G$78))+SUMPRODUCT(($H$7:$H$78=AE29)*($U$7:$U$78)*($F$7:$F$78))</f>
        <v>1</v>
      </c>
      <c r="AX29" s="126">
        <f>AV29-AW29</f>
        <v>3</v>
      </c>
      <c r="AY29" s="126">
        <f>AX29-MIN(AX26:AX29)</f>
        <v>6</v>
      </c>
      <c r="AZ29" s="126">
        <f>AT29/AT30*1000+AU29/AU30*100+AY29/AY30*10+AV29/AV30</f>
        <v>509.57142857142856</v>
      </c>
      <c r="BA29" s="126">
        <f>AZ29/AZ30</f>
        <v>0.99804141018466708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>Spain</v>
      </c>
      <c r="BT29" s="62">
        <v>1</v>
      </c>
      <c r="BU29" s="64"/>
      <c r="BV29" s="27"/>
      <c r="BW29" s="113">
        <f>IF(BW28="","",BT29*1000+BU29*10+BV29)</f>
        <v>1000</v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3</v>
      </c>
      <c r="G30" s="20">
        <v>1</v>
      </c>
      <c r="H30" s="80" t="str">
        <f>AE71</f>
        <v>Colombia</v>
      </c>
      <c r="J30" s="35" t="str">
        <f>VLOOKUP(4,AD26:AN29,2,FALSE)</f>
        <v>Paraguay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7 - 8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Uzbekistan_win</v>
      </c>
      <c r="T30" s="127" t="str">
        <f t="shared" si="2"/>
        <v>Colombia_lose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1</v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10</v>
      </c>
      <c r="AL30" s="123">
        <f>MIN(AL26:AL29)</f>
        <v>-2</v>
      </c>
      <c r="AM30" s="123">
        <f>MAX(AM26:AM29)+1</f>
        <v>5</v>
      </c>
      <c r="AN30" s="123">
        <f>MAX(AN26:AN29)+1</f>
        <v>7</v>
      </c>
      <c r="AO30" s="123">
        <f>MAX(AO26:AO29)+1</f>
        <v>10.569469981613238</v>
      </c>
      <c r="AP30" s="123">
        <f>MAX(AP26:AP29)+1</f>
        <v>95694709.716931909</v>
      </c>
      <c r="AT30" s="126">
        <f>MAX(AT26:AT29)-MIN(AT26:AT29)+1</f>
        <v>2</v>
      </c>
      <c r="AU30" s="126">
        <f>MAX(AU26:AU29)-MIN(AU26:AU29)+1</f>
        <v>1</v>
      </c>
      <c r="AV30" s="126">
        <f>MAX(AV26:AV29)-MIN(AV26:AV29)+1</f>
        <v>4</v>
      </c>
      <c r="AW30" s="126">
        <f>MAX(AW26:AW29)-MIN(AW26:AW29)+1</f>
        <v>4</v>
      </c>
      <c r="AY30" s="126">
        <f>MAX(AY26:AY29)-MIN(AY26:AY29)+1</f>
        <v>7</v>
      </c>
      <c r="AZ30" s="126">
        <f>MAX(AZ26:AZ29)+1</f>
        <v>510.57142857142856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Spain</v>
      </c>
      <c r="BM30" s="61">
        <v>1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1000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4</v>
      </c>
      <c r="G31" s="20">
        <v>2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Republic_win</v>
      </c>
      <c r="T31" s="127" t="str">
        <f t="shared" si="2"/>
        <v>South Africa_lose</v>
      </c>
      <c r="U31" s="123">
        <f t="shared" si="8"/>
        <v>1</v>
      </c>
      <c r="V31" s="123">
        <f t="shared" si="3"/>
        <v>4</v>
      </c>
      <c r="W31" s="123">
        <f t="shared" si="4"/>
        <v>2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>
        <f t="shared" si="6"/>
        <v>1</v>
      </c>
      <c r="BK31" s="142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1</v>
      </c>
      <c r="G32" s="20">
        <v>3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Switzerland_lose</v>
      </c>
      <c r="T32" s="127" t="str">
        <f t="shared" si="2"/>
        <v>Bosnia and Herzegovina_win</v>
      </c>
      <c r="U32" s="123">
        <f t="shared" si="8"/>
        <v>1</v>
      </c>
      <c r="V32" s="123">
        <f t="shared" si="3"/>
        <v>1</v>
      </c>
      <c r="W32" s="123">
        <f t="shared" si="4"/>
        <v>3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-1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3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8</v>
      </c>
      <c r="AJ32" s="123">
        <f>SUMIF($E$7:$E$78,$AE32,$G$7:$G$78) + SUMIF($H$7:$H$78,$AE32,$F$7:$F$78)</f>
        <v>3</v>
      </c>
      <c r="AL32" s="123">
        <f>AI32-AJ32</f>
        <v>5</v>
      </c>
      <c r="AM32" s="123">
        <f>AL32-AL36</f>
        <v>7</v>
      </c>
      <c r="AN32" s="123">
        <f>AF32*3+AG32</f>
        <v>9</v>
      </c>
      <c r="AO32" s="123">
        <f>AN32/AN36*10+BA32</f>
        <v>9.0065552277941663</v>
      </c>
      <c r="AP32" s="123">
        <f>AO32*10000000+BI32*100+AM32/AM36*10+AI32/AI36*1++IF(AQ32=0,ROW(),AQ32)/2000000</f>
        <v>90065561.917695746</v>
      </c>
      <c r="AQ32" s="126">
        <f>VLOOKUP(AE32,db_fifarank,2,FALSE)</f>
        <v>1730.37</v>
      </c>
      <c r="AR32" s="125">
        <f>AP32/AP36</f>
        <v>0.99999998889697717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1</v>
      </c>
      <c r="AZ32" s="126">
        <f>AT32/AT36*1000+AU32/AU36*100+AY32/AY36*10+AV32/AV36</f>
        <v>3.333333333333333</v>
      </c>
      <c r="BA32" s="126">
        <f>AZ32/AZ36</f>
        <v>6.5552277941658471E-3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>Spain</v>
      </c>
      <c r="CA32" s="61">
        <v>1</v>
      </c>
      <c r="CB32" s="63"/>
      <c r="CC32" s="25"/>
      <c r="CD32" s="116">
        <f>IF(OR(CA32="",CA33="",AND(CB32="",CB33&lt;&gt;""),AND(CB33="",CB32&lt;&gt;""),AND(CC32="",CC33&lt;&gt;""),AND(CC33="",CC32&lt;&gt;"")),"",CA32*1000+CB32*10+CC32)</f>
        <v>1000</v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1</v>
      </c>
      <c r="G33" s="20">
        <v>4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3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8 - 3</v>
      </c>
      <c r="P33" s="32">
        <f>L33*3+M33</f>
        <v>9</v>
      </c>
      <c r="R33" s="123">
        <f>DATE(2026,6,18)+TIME(11,0,0)+gmt_delta</f>
        <v>46191.916666666672</v>
      </c>
      <c r="S33" s="127" t="str">
        <f t="shared" si="1"/>
        <v>Canada_lose</v>
      </c>
      <c r="T33" s="127" t="str">
        <f t="shared" si="2"/>
        <v>Qatar_win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-1</v>
      </c>
      <c r="AD33" s="123">
        <f>COUNTIF(AR32:AR35,CONCATENATE("&gt;=",AR33))</f>
        <v>3</v>
      </c>
      <c r="AE33" s="124" t="str">
        <f>VLOOKUP("Curaçao",T,lang,FALSE)</f>
        <v>Curaçao</v>
      </c>
      <c r="AF33" s="123">
        <f>COUNTIF($S$7:$T$78,"=" &amp; AE33 &amp; "_win")</f>
        <v>1</v>
      </c>
      <c r="AG33" s="123">
        <f>COUNTIF($S$7:$T$78,"=" &amp; AE33 &amp; "_draw")</f>
        <v>0</v>
      </c>
      <c r="AH33" s="123">
        <f>COUNTIF($S$7:$T$78,"=" &amp; AE33 &amp; "_lose")</f>
        <v>2</v>
      </c>
      <c r="AI33" s="123">
        <f>SUMIF($E$7:$E$78,$AE33,$F$7:$F$78) + SUMIF($H$7:$H$78,$AE33,$G$7:$G$78)</f>
        <v>6</v>
      </c>
      <c r="AJ33" s="123">
        <f>SUMIF($E$7:$E$78,$AE33,$G$7:$G$78) + SUMIF($H$7:$H$78,$AE33,$F$7:$F$78)</f>
        <v>8</v>
      </c>
      <c r="AL33" s="123">
        <f>AI33-AJ33</f>
        <v>-2</v>
      </c>
      <c r="AM33" s="123">
        <f>AL33-AL36</f>
        <v>0</v>
      </c>
      <c r="AN33" s="123">
        <f>AF33*3+AG33</f>
        <v>3</v>
      </c>
      <c r="AO33" s="123">
        <f>AN33/AN36*10+BA33</f>
        <v>3.9914782038675845</v>
      </c>
      <c r="AP33" s="123">
        <f>AO33*10000000+BI33*100+AM33/AM36*10+AI33/AI36*1++IF(AQ33=0,ROW(),AQ33)/2000000</f>
        <v>39914782.70598983</v>
      </c>
      <c r="AQ33" s="126">
        <f>VLOOKUP(AE33,db_fifarank,2,FALSE)</f>
        <v>1294.6500000000001</v>
      </c>
      <c r="AR33" s="125">
        <f>AP33/AP36</f>
        <v>0.44317474307538607</v>
      </c>
      <c r="AS33" s="125" t="str">
        <f>IF(SUM(AF32:AH35)=12,J34,"2E")</f>
        <v>Ecuador</v>
      </c>
      <c r="AT33" s="126" cm="1">
        <f t="array" ref="AT33">SUMPRODUCT(($S$7:$S$78=AE33&amp;"_win")*($U$7:$U$78))+SUMPRODUCT(($T$7:$T$78=AE33&amp;"_win")*($U$7:$U$78))</f>
        <v>1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5</v>
      </c>
      <c r="AW33" s="126" cm="1">
        <f t="array" ref="AW33">SUMPRODUCT(($E$7:$E$78=AE33)*($U$7:$U$78)*($G$7:$G$78))+SUMPRODUCT(($H$7:$H$78=AE33)*($U$7:$U$78)*($F$7:$F$78))</f>
        <v>5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504.16666666666663</v>
      </c>
      <c r="BA33" s="126">
        <f>AZ33/AZ36</f>
        <v>0.99147820386758434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>Belgium</v>
      </c>
      <c r="CA33" s="62">
        <v>0</v>
      </c>
      <c r="CB33" s="64"/>
      <c r="CC33" s="27"/>
      <c r="CD33" s="112">
        <f>IF(CD32="","",CA33*1000+CB33*10+CC33)</f>
        <v>0</v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2</v>
      </c>
      <c r="G34" s="20">
        <v>1</v>
      </c>
      <c r="H34" s="80" t="str">
        <f>AE10</f>
        <v>Korea Republic</v>
      </c>
      <c r="J34" s="33" t="str">
        <f>VLOOKUP(2,AD32:AN35,2,FALSE)</f>
        <v>Ecuador</v>
      </c>
      <c r="K34" s="23">
        <f>L34+M34+N34</f>
        <v>3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2</v>
      </c>
      <c r="O34" s="23" t="str">
        <f>VLOOKUP(2,AD32:AN35,6,FALSE) &amp; " - " &amp; VLOOKUP(2,AD32:AN35,7,FALSE)</f>
        <v>6 - 7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4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2</v>
      </c>
      <c r="AI34" s="123">
        <f>SUMIF($E$7:$E$78,$AE34,$F$7:$F$78) + SUMIF($H$7:$H$78,$AE34,$G$7:$G$78)</f>
        <v>6</v>
      </c>
      <c r="AJ34" s="123">
        <f>SUMIF($E$7:$E$78,$AE34,$G$7:$G$78) + SUMIF($H$7:$H$78,$AE34,$F$7:$F$78)</f>
        <v>8</v>
      </c>
      <c r="AL34" s="123">
        <f>AI34-AJ34</f>
        <v>-2</v>
      </c>
      <c r="AM34" s="123">
        <f>AL34-AL36</f>
        <v>0</v>
      </c>
      <c r="AN34" s="123">
        <f>AF34*3+AG34</f>
        <v>3</v>
      </c>
      <c r="AO34" s="123">
        <f>AN34/AN36*10+BA34</f>
        <v>3.9849229760734186</v>
      </c>
      <c r="AP34" s="123">
        <f>AO34*10000000+BI34*100+AM34/AM36*10+AI34/AI36*1++IF(AQ34=0,ROW(),AQ34)/2000000</f>
        <v>39849230.428167343</v>
      </c>
      <c r="AQ34" s="126">
        <f>VLOOKUP(AE34,db_fifarank,2,FALSE)</f>
        <v>1532.98</v>
      </c>
      <c r="AR34" s="125">
        <f>AP34/AP36</f>
        <v>0.44244691463909025</v>
      </c>
      <c r="AT34" s="126" cm="1">
        <f t="array" ref="AT34">SUMPRODUCT(($S$7:$S$78=AE34&amp;"_win")*($U$7:$U$78))+SUMPRODUCT(($T$7:$T$78=AE34&amp;"_win")*($U$7:$U$78))</f>
        <v>1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5</v>
      </c>
      <c r="AW34" s="126" cm="1">
        <f t="array" ref="AW34">SUMPRODUCT(($E$7:$E$78=AE34)*($U$7:$U$78)*($G$7:$G$78))+SUMPRODUCT(($H$7:$H$78=AE34)*($U$7:$U$78)*($F$7:$F$78))</f>
        <v>6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500.83333333333331</v>
      </c>
      <c r="BA34" s="126">
        <f>AZ34/AZ36</f>
        <v>0.9849229760734185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Turkey</v>
      </c>
      <c r="BM34" s="61">
        <v>0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1</v>
      </c>
      <c r="H35" s="80" t="str">
        <f>AE22</f>
        <v>Haiti</v>
      </c>
      <c r="J35" s="33" t="str">
        <f>VLOOKUP(3,AD32:AN35,2,FALSE)</f>
        <v>Curaçao</v>
      </c>
      <c r="K35" s="23">
        <f>L35+M35+N35</f>
        <v>3</v>
      </c>
      <c r="L35" s="23">
        <f>VLOOKUP(3,AD32:AN35,3,FALSE)</f>
        <v>1</v>
      </c>
      <c r="M35" s="23">
        <f>VLOOKUP(3,AD32:AN35,4,FALSE)</f>
        <v>0</v>
      </c>
      <c r="N35" s="23">
        <f>VLOOKUP(3,AD32:AN35,5,FALSE)</f>
        <v>2</v>
      </c>
      <c r="O35" s="23" t="str">
        <f>VLOOKUP(3,AD32:AN35,6,FALSE) &amp; " - " &amp; VLOOKUP(3,AD32:AN35,7,FALSE)</f>
        <v>6 - 8</v>
      </c>
      <c r="P35" s="34">
        <f>L35*3+M35</f>
        <v>3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0</v>
      </c>
      <c r="AH35" s="123">
        <f>COUNTIF($S$7:$T$78,"=" &amp; AE35 &amp; "_lose")</f>
        <v>2</v>
      </c>
      <c r="AI35" s="123">
        <f>SUMIF($E$7:$E$78,$AE35,$F$7:$F$78) + SUMIF($H$7:$H$78,$AE35,$G$7:$G$78)</f>
        <v>6</v>
      </c>
      <c r="AJ35" s="123">
        <f>SUMIF($E$7:$E$78,$AE35,$G$7:$G$78) + SUMIF($H$7:$H$78,$AE35,$F$7:$F$78)</f>
        <v>7</v>
      </c>
      <c r="AL35" s="123">
        <f>AI35-AJ35</f>
        <v>-1</v>
      </c>
      <c r="AM35" s="123">
        <f>AL35-AL36</f>
        <v>1</v>
      </c>
      <c r="AN35" s="123">
        <f>AF35*3+AG35</f>
        <v>3</v>
      </c>
      <c r="AO35" s="123">
        <f>AN35/AN36*10+BA35</f>
        <v>3.9980334316617503</v>
      </c>
      <c r="AP35" s="123">
        <f>AO35*10000000+BI35*100+AM35/AM36*10+AI35/AI36*1++IF(AQ35=0,ROW(),AQ35)/2000000</f>
        <v>39980336.234081559</v>
      </c>
      <c r="AQ35" s="126">
        <f>VLOOKUP(AE35,db_fifarank,2,FALSE)</f>
        <v>1594.78</v>
      </c>
      <c r="AR35" s="125">
        <f>AP35/AP36</f>
        <v>0.44390258539344979</v>
      </c>
      <c r="AT35" s="126" cm="1">
        <f t="array" ref="AT35">SUMPRODUCT(($S$7:$S$78=AE35&amp;"_win")*($U$7:$U$78))+SUMPRODUCT(($T$7:$T$78=AE35&amp;"_win")*($U$7:$U$78))</f>
        <v>1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5</v>
      </c>
      <c r="AW35" s="126" cm="1">
        <f t="array" ref="AW35">SUMPRODUCT(($E$7:$E$78=AE35)*($U$7:$U$78)*($G$7:$G$78))+SUMPRODUCT(($H$7:$H$78=AE35)*($U$7:$U$78)*($F$7:$F$78))</f>
        <v>4</v>
      </c>
      <c r="AX35" s="126">
        <f>AV35-AW35</f>
        <v>1</v>
      </c>
      <c r="AY35" s="126">
        <f>AX35-MIN(AX32:AX35)</f>
        <v>2</v>
      </c>
      <c r="AZ35" s="126">
        <f>AT35/AT36*1000+AU35/AU36*100+AY35/AY36*10+AV35/AV36</f>
        <v>507.5</v>
      </c>
      <c r="BA35" s="126">
        <f>AZ35/AZ36</f>
        <v>0.99803343166175029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Senegal</v>
      </c>
      <c r="BM35" s="62">
        <v>1</v>
      </c>
      <c r="BN35" s="64"/>
      <c r="BO35" s="27"/>
      <c r="BP35" s="113">
        <f>IF(BP34="","",BM35*1000+BN35*10+BO35)</f>
        <v>1000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3</v>
      </c>
      <c r="G36" s="20">
        <v>2</v>
      </c>
      <c r="H36" s="80" t="str">
        <f>AE21</f>
        <v>Morocco</v>
      </c>
      <c r="J36" s="35" t="str">
        <f>VLOOKUP(4,AD32:AN35,2,FALSE)</f>
        <v>Ivory Coast</v>
      </c>
      <c r="K36" s="36">
        <f>L36+M36+N36</f>
        <v>3</v>
      </c>
      <c r="L36" s="36">
        <f>VLOOKUP(4,AD32:AN35,3,FALSE)</f>
        <v>1</v>
      </c>
      <c r="M36" s="36">
        <f>VLOOKUP(4,AD32:AN35,4,FALSE)</f>
        <v>0</v>
      </c>
      <c r="N36" s="36">
        <f>VLOOKUP(4,AD32:AN35,5,FALSE)</f>
        <v>2</v>
      </c>
      <c r="O36" s="36" t="str">
        <f>VLOOKUP(4,AD32:AN35,6,FALSE) &amp; " - " &amp; VLOOKUP(4,AD32:AN35,7,FALSE)</f>
        <v>6 - 8</v>
      </c>
      <c r="P36" s="37">
        <f>L36*3+M36</f>
        <v>3</v>
      </c>
      <c r="R36" s="123">
        <f>DATE(2026,6,19)+TIME(11,0,0)+gmt_delta</f>
        <v>46192.916666666672</v>
      </c>
      <c r="S36" s="127" t="str">
        <f t="shared" si="1"/>
        <v>Scotland_win</v>
      </c>
      <c r="T36" s="127" t="str">
        <f t="shared" si="2"/>
        <v>Morocco_lose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1</v>
      </c>
      <c r="AF36" s="123">
        <f t="shared" ref="AF36:AH36" si="16">MAX(AF32:AF35)-MIN(AF32:AF35)+1</f>
        <v>3</v>
      </c>
      <c r="AG36" s="123">
        <f t="shared" si="16"/>
        <v>1</v>
      </c>
      <c r="AH36" s="123">
        <f t="shared" si="16"/>
        <v>3</v>
      </c>
      <c r="AI36" s="123">
        <f>MAX(AI32:AI35)+1</f>
        <v>9</v>
      </c>
      <c r="AL36" s="123">
        <f>MIN(AL32:AL35)</f>
        <v>-2</v>
      </c>
      <c r="AM36" s="123">
        <f>MAX(AM32:AM35)+1</f>
        <v>8</v>
      </c>
      <c r="AN36" s="123">
        <f>MAX(AN32:AN35)+1</f>
        <v>10</v>
      </c>
      <c r="AO36" s="123">
        <f>MAX(AO32:AO35)+1</f>
        <v>10.006555227794166</v>
      </c>
      <c r="AP36" s="123">
        <f>MAX(AP32:AP35)+1</f>
        <v>90065562.917695746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6</v>
      </c>
      <c r="AW36" s="126">
        <f>MAX(AW32:AW35)-MIN(AW32:AW35)+1</f>
        <v>7</v>
      </c>
      <c r="AY36" s="126">
        <f>MAX(AY32:AY35)-MIN(AY32:AY35)+1</f>
        <v>3</v>
      </c>
      <c r="AZ36" s="126">
        <f>MAX(AZ32:AZ35)+1</f>
        <v>508.5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>Senegal</v>
      </c>
      <c r="BT36" s="61">
        <v>0</v>
      </c>
      <c r="BU36" s="63"/>
      <c r="BV36" s="25"/>
      <c r="BW36" s="116">
        <f>IF(OR(BT36="",BT37="",AND(BU36="",BU37&lt;&gt;""),AND(BU37="",BU36&lt;&gt;""),AND(BV36="",BV37&lt;&gt;""),AND(BV37="",BV36&lt;&gt;"")),"",BT36*1000+BU36*10+BV36)</f>
        <v>0</v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1</v>
      </c>
      <c r="G37" s="20">
        <v>3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States_lose</v>
      </c>
      <c r="T37" s="127" t="str">
        <f t="shared" si="2"/>
        <v>Australia_win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-1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>Belgium</v>
      </c>
      <c r="BT37" s="62">
        <v>1</v>
      </c>
      <c r="BU37" s="64"/>
      <c r="BV37" s="27"/>
      <c r="BW37" s="112">
        <f>IF(BW36="","",BT37*1000+BU37*10+BV37)</f>
        <v>1000</v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>Spain</v>
      </c>
      <c r="CO37" s="61">
        <v>1</v>
      </c>
      <c r="CP37" s="63"/>
      <c r="CQ37" s="25"/>
      <c r="CR37" s="111">
        <f>IF(OR(CO37="",CO38="",AND(CP37="",CP38&lt;&gt;""),AND(CP38="",CP37&lt;&gt;""),AND(CQ37="",CQ38&lt;&gt;""),AND(CQ38="",CQ37&lt;&gt;"")),"",CO37*1000+CP37*10+CQ37)</f>
        <v>1000</v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1</v>
      </c>
      <c r="G38" s="20">
        <v>4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0</v>
      </c>
      <c r="AH38" s="123">
        <f>COUNTIF($S$7:$T$78,"=" &amp; AE38 &amp; "_lose")</f>
        <v>1</v>
      </c>
      <c r="AI38" s="123">
        <f>SUMIF($E$7:$E$78,$AE38,$F$7:$F$78) + SUMIF($H$7:$H$78,$AE38,$G$7:$G$78)</f>
        <v>9</v>
      </c>
      <c r="AJ38" s="123">
        <f>SUMIF($E$7:$E$78,$AE38,$G$7:$G$78) + SUMIF($H$7:$H$78,$AE38,$F$7:$F$78)</f>
        <v>7</v>
      </c>
      <c r="AL38" s="123">
        <f>AI38-AJ38</f>
        <v>2</v>
      </c>
      <c r="AM38" s="123">
        <f>AL38-AL42</f>
        <v>5</v>
      </c>
      <c r="AN38" s="123">
        <f>AF38*3+AG38</f>
        <v>6</v>
      </c>
      <c r="AO38" s="123">
        <f>AN38/AN42*10+BA38</f>
        <v>8.57471620433288</v>
      </c>
      <c r="AP38" s="123">
        <f>AO38*10000000+BI38*100+AM38/AM42*10+AI38/AI42*1++IF(AQ38=0,ROW(),AQ38)/2000000</f>
        <v>85747171.277541071</v>
      </c>
      <c r="AQ38" s="126">
        <f>VLOOKUP(AE38,db_fifarank,2,FALSE)</f>
        <v>1757.87</v>
      </c>
      <c r="AR38" s="125">
        <f>AP38/AP42</f>
        <v>0.8963571794656271</v>
      </c>
      <c r="AS38" s="125" t="str">
        <f>IF(SUM(AF38:AH41)=12,J39,"1F")</f>
        <v>Tunisia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1</v>
      </c>
      <c r="AW38" s="126" cm="1">
        <f t="array" ref="AW38">SUMPRODUCT(($E$7:$E$78=AE38)*($U$7:$U$78)*($G$7:$G$78))+SUMPRODUCT(($H$7:$H$78=AE38)*($U$7:$U$78)*($F$7:$F$78))</f>
        <v>3</v>
      </c>
      <c r="AX38" s="126">
        <f>AV38-AW38</f>
        <v>-2</v>
      </c>
      <c r="AY38" s="126">
        <f>AX38-MIN(AX38:AX41)</f>
        <v>1</v>
      </c>
      <c r="AZ38" s="126">
        <f>AT38/AT42*1000+AU38/AU42*100+AY38/AY42*10+AV38/AV42</f>
        <v>1.6785714285714284</v>
      </c>
      <c r="BA38" s="126">
        <f>AZ38/AZ42</f>
        <v>3.2876329043088973E-3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Belgium</v>
      </c>
      <c r="BM38" s="61">
        <v>1</v>
      </c>
      <c r="BN38" s="63"/>
      <c r="BO38" s="25"/>
      <c r="BP38" s="116">
        <f>IF(OR(BM38="",BM39="",AND(BN38="",BN39&lt;&gt;""),AND(BN39="",BN38&lt;&gt;""),AND(BO38="",BO39&lt;&gt;""),AND(BO39="",BO38&lt;&gt;"")),"",BM38*1000+BN38*10+BO38)</f>
        <v>1000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>France</v>
      </c>
      <c r="CO38" s="62">
        <v>0</v>
      </c>
      <c r="CP38" s="64"/>
      <c r="CQ38" s="27"/>
      <c r="CR38" s="111">
        <f>IF(CR37="","",CO38*1000+CP38*10+CQ38)</f>
        <v>0</v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Tunisia</v>
      </c>
      <c r="K39" s="31">
        <f>L39+M39+N39</f>
        <v>3</v>
      </c>
      <c r="L39" s="31">
        <f>VLOOKUP(1,AD38:AN41,3,FALSE)</f>
        <v>2</v>
      </c>
      <c r="M39" s="31">
        <f>VLOOKUP(1,AD38:AN41,4,FALSE)</f>
        <v>0</v>
      </c>
      <c r="N39" s="31">
        <f>VLOOKUP(1,AD38:AN41,5,FALSE)</f>
        <v>1</v>
      </c>
      <c r="O39" s="31" t="str">
        <f>VLOOKUP(1,AD38:AN41,6,FALSE) &amp; " - " &amp; VLOOKUP(1,AD38:AN41,7,FALSE)</f>
        <v>7 - 5</v>
      </c>
      <c r="P39" s="32">
        <f>L39*3+M39</f>
        <v>6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4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0</v>
      </c>
      <c r="AH39" s="123">
        <f>COUNTIF($S$7:$T$78,"=" &amp; AE39 &amp; "_lose")</f>
        <v>2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9</v>
      </c>
      <c r="AL39" s="123">
        <f>AI39-AJ39</f>
        <v>-3</v>
      </c>
      <c r="AM39" s="123">
        <f>AL39-AL42</f>
        <v>0</v>
      </c>
      <c r="AN39" s="123">
        <f>AF39*3+AG39</f>
        <v>3</v>
      </c>
      <c r="AO39" s="123">
        <f>AN39/AN42*10+BA39</f>
        <v>4.2862039331681192</v>
      </c>
      <c r="AP39" s="123">
        <f>AO39*10000000+BI39*100+AM39/AM42*10+AI39/AI42*1++IF(AQ39=0,ROW(),AQ39)/2000000</f>
        <v>42862039.932511412</v>
      </c>
      <c r="AQ39" s="126">
        <f>VLOOKUP(AE39,db_fifarank,2,FALSE)</f>
        <v>1660.43</v>
      </c>
      <c r="AR39" s="125">
        <f>AP39/AP42</f>
        <v>0.44805789681031616</v>
      </c>
      <c r="AS39" s="125" t="str">
        <f>IF(SUM(AF38:AH41)=12,J40,"2F")</f>
        <v>Netherlands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1</v>
      </c>
      <c r="AW39" s="126" cm="1">
        <f t="array" ref="AW39">SUMPRODUCT(($E$7:$E$78=AE39)*($U$7:$U$78)*($G$7:$G$78))+SUMPRODUCT(($H$7:$H$78=AE39)*($U$7:$U$78)*($F$7:$F$78))</f>
        <v>4</v>
      </c>
      <c r="AX39" s="126">
        <f>AV39-AW39</f>
        <v>-3</v>
      </c>
      <c r="AY39" s="126">
        <f>AX39-MIN(AX38:AX41)</f>
        <v>0</v>
      </c>
      <c r="AZ39" s="126">
        <f>AT39/AT42*1000+AU39/AU42*100+AY39/AY42*10+AV39/AV42</f>
        <v>0.25</v>
      </c>
      <c r="BA39" s="126">
        <f>AZ39/AZ42</f>
        <v>4.8964745383324004E-4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South Africa</v>
      </c>
      <c r="BM39" s="62">
        <v>0</v>
      </c>
      <c r="BN39" s="64"/>
      <c r="BO39" s="27"/>
      <c r="BP39" s="112">
        <f>IF(BP38="","",BM39*1000+BN39*10+BO39)</f>
        <v>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3</v>
      </c>
      <c r="G40" s="20">
        <v>1</v>
      </c>
      <c r="H40" s="80" t="str">
        <f>AE33</f>
        <v>Curaçao</v>
      </c>
      <c r="J40" s="33" t="str">
        <f>VLOOKUP(2,AD38:AN41,2,FALSE)</f>
        <v>Netherlands</v>
      </c>
      <c r="K40" s="23">
        <f>L40+M40+N40</f>
        <v>3</v>
      </c>
      <c r="L40" s="23">
        <f>VLOOKUP(2,AD38:AN41,3,FALSE)</f>
        <v>2</v>
      </c>
      <c r="M40" s="23">
        <f>VLOOKUP(2,AD38:AN41,4,FALSE)</f>
        <v>0</v>
      </c>
      <c r="N40" s="23">
        <f>VLOOKUP(2,AD38:AN41,5,FALSE)</f>
        <v>1</v>
      </c>
      <c r="O40" s="23" t="str">
        <f>VLOOKUP(2,AD38:AN41,6,FALSE) &amp; " - " &amp; VLOOKUP(2,AD38:AN41,7,FALSE)</f>
        <v>9 - 7</v>
      </c>
      <c r="P40" s="34">
        <f>L40*3+M40</f>
        <v>6</v>
      </c>
      <c r="R40" s="123">
        <f>DATE(2026,6,20)+TIME(13,0,0)+gmt_delta</f>
        <v>46194</v>
      </c>
      <c r="S40" s="127" t="str">
        <f t="shared" si="1"/>
        <v>Ecuador_win</v>
      </c>
      <c r="T40" s="127" t="str">
        <f t="shared" si="2"/>
        <v>Curaçao_lose</v>
      </c>
      <c r="U40" s="123">
        <f t="shared" si="8"/>
        <v>1</v>
      </c>
      <c r="V40" s="123">
        <f t="shared" si="3"/>
        <v>3</v>
      </c>
      <c r="W40" s="123">
        <f t="shared" si="4"/>
        <v>1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1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2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8</v>
      </c>
      <c r="AL40" s="123">
        <f>AI40-AJ40</f>
        <v>-1</v>
      </c>
      <c r="AM40" s="123">
        <f>AL40-AL42</f>
        <v>2</v>
      </c>
      <c r="AN40" s="123">
        <f>AF40*3+AG40</f>
        <v>3</v>
      </c>
      <c r="AO40" s="123">
        <f>AN40/AN42*10+BA40</f>
        <v>5.2837556958989529</v>
      </c>
      <c r="AP40" s="123">
        <f>AO40*10000000+BI40*100+AM40/AM42*10+AI40/AI42*1++IF(AQ40=0,ROW(),AQ40)/2000000</f>
        <v>52837560.993080251</v>
      </c>
      <c r="AQ40" s="126">
        <f>VLOOKUP(AE40,db_fifarank,2,FALSE)</f>
        <v>1514.77</v>
      </c>
      <c r="AR40" s="125">
        <f>AP40/AP42</f>
        <v>0.55233690436625915</v>
      </c>
      <c r="AT40" s="126" cm="1">
        <f t="array" ref="AT40">SUMPRODUCT(($S$7:$S$78=AE40&amp;"_win")*($U$7:$U$78))+SUMPRODUCT(($T$7:$T$78=AE40&amp;"_win")*($U$7:$U$78))</f>
        <v>1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4</v>
      </c>
      <c r="AW40" s="126" cm="1">
        <f t="array" ref="AW40">SUMPRODUCT(($E$7:$E$78=AE40)*($U$7:$U$78)*($G$7:$G$78))+SUMPRODUCT(($H$7:$H$78=AE40)*($U$7:$U$78)*($F$7:$F$78))</f>
        <v>1</v>
      </c>
      <c r="AX40" s="126">
        <f>AV40-AW40</f>
        <v>3</v>
      </c>
      <c r="AY40" s="126">
        <f>AX40-MIN(AX38:AX41)</f>
        <v>6</v>
      </c>
      <c r="AZ40" s="126">
        <f>AT40/AT42*1000+AU40/AU42*100+AY40/AY42*10+AV40/AV42</f>
        <v>509.57142857142856</v>
      </c>
      <c r="BA40" s="126">
        <f>AZ40/AZ42</f>
        <v>0.99804141018466708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4</v>
      </c>
      <c r="G41" s="20">
        <v>2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2</v>
      </c>
      <c r="O41" s="23" t="str">
        <f>VLOOKUP(3,AD38:AN41,6,FALSE) &amp; " - " &amp; VLOOKUP(3,AD38:AN41,7,FALSE)</f>
        <v>7 - 8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1</v>
      </c>
      <c r="AE41" s="124" t="str">
        <f>VLOOKUP("Tunisia",T,lang,FALSE)</f>
        <v>Tunisia</v>
      </c>
      <c r="AF41" s="123">
        <f>COUNTIF($S$7:$T$78,"=" &amp; AE41 &amp; "_win")</f>
        <v>2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7</v>
      </c>
      <c r="AJ41" s="123">
        <f>SUMIF($E$7:$E$78,$AE41,$G$7:$G$78) + SUMIF($H$7:$H$78,$AE41,$F$7:$F$78)</f>
        <v>5</v>
      </c>
      <c r="AL41" s="123">
        <f>AI41-AJ41</f>
        <v>2</v>
      </c>
      <c r="AM41" s="123">
        <f>AL41-AL42</f>
        <v>5</v>
      </c>
      <c r="AN41" s="123">
        <f>AF41*3+AG41</f>
        <v>6</v>
      </c>
      <c r="AO41" s="123">
        <f>AN41/AN42*10+BA41</f>
        <v>9.5661823487089297</v>
      </c>
      <c r="AP41" s="123">
        <f>AO41*10000000+BI41*100+AM41/AM42*10+AI41/AI42*1++IF(AQ41=0,ROW(),AQ41)/2000000</f>
        <v>95661832.521164149</v>
      </c>
      <c r="AQ41" s="126">
        <f>VLOOKUP(AE41,db_fifarank,2,FALSE)</f>
        <v>1483.05</v>
      </c>
      <c r="AR41" s="125">
        <f>AP41/AP42</f>
        <v>0.99999998954651026</v>
      </c>
      <c r="AT41" s="126" cm="1">
        <f t="array" ref="AT41">SUMPRODUCT(($S$7:$S$78=AE41&amp;"_win")*($U$7:$U$78))+SUMPRODUCT(($T$7:$T$78=AE41&amp;"_win")*($U$7:$U$78))</f>
        <v>1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3</v>
      </c>
      <c r="AW41" s="126" cm="1">
        <f t="array" ref="AW41">SUMPRODUCT(($E$7:$E$78=AE41)*($U$7:$U$78)*($G$7:$G$78))+SUMPRODUCT(($H$7:$H$78=AE41)*($U$7:$U$78)*($F$7:$F$78))</f>
        <v>1</v>
      </c>
      <c r="AX41" s="126">
        <f>AV41-AW41</f>
        <v>2</v>
      </c>
      <c r="AY41" s="126">
        <f>AX41-MIN(AX38:AX41)</f>
        <v>5</v>
      </c>
      <c r="AZ41" s="126">
        <f>AT41/AT42*1000+AU41/AU42*100+AY41/AY42*10+AV41/AV42</f>
        <v>507.89285714285717</v>
      </c>
      <c r="BA41" s="126">
        <f>AZ41/AZ42</f>
        <v>0.99475377728035819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1</v>
      </c>
      <c r="G42" s="20">
        <v>3</v>
      </c>
      <c r="H42" s="80" t="str">
        <f>AE39</f>
        <v>Japan</v>
      </c>
      <c r="J42" s="35" t="str">
        <f>VLOOKUP(4,AD38:AN41,2,FALSE)</f>
        <v>Japan</v>
      </c>
      <c r="K42" s="36">
        <f>L42+M42+N42</f>
        <v>3</v>
      </c>
      <c r="L42" s="36">
        <f>VLOOKUP(4,AD38:AN41,3,FALSE)</f>
        <v>1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6 - 9</v>
      </c>
      <c r="P42" s="37">
        <f>L42*3+M42</f>
        <v>3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1</v>
      </c>
      <c r="AH42" s="123">
        <f t="shared" si="18"/>
        <v>2</v>
      </c>
      <c r="AI42" s="123">
        <f>MAX(AI38:AI41)+1</f>
        <v>10</v>
      </c>
      <c r="AL42" s="123">
        <f>MIN(AL38:AL41)</f>
        <v>-3</v>
      </c>
      <c r="AM42" s="123">
        <f>MAX(AM38:AM41)+1</f>
        <v>6</v>
      </c>
      <c r="AN42" s="123">
        <f>MAX(AN38:AN41)+1</f>
        <v>7</v>
      </c>
      <c r="AO42" s="123">
        <f>MAX(AO38:AO41)+1</f>
        <v>10.56618234870893</v>
      </c>
      <c r="AP42" s="123">
        <f>MAX(AP38:AP41)+1</f>
        <v>95661833.521164149</v>
      </c>
      <c r="AT42" s="126">
        <f>MAX(AT38:AT41)-MIN(AT38:AT41)+1</f>
        <v>2</v>
      </c>
      <c r="AU42" s="126">
        <f>MAX(AU38:AU41)-MIN(AU38:AU41)+1</f>
        <v>1</v>
      </c>
      <c r="AV42" s="126">
        <f>MAX(AV38:AV41)-MIN(AV38:AV41)+1</f>
        <v>4</v>
      </c>
      <c r="AW42" s="126">
        <f>MAX(AW38:AW41)-MIN(AW38:AW41)+1</f>
        <v>4</v>
      </c>
      <c r="AY42" s="126">
        <f>MAX(AY38:AY41)-MIN(AY38:AY41)+1</f>
        <v>7</v>
      </c>
      <c r="AZ42" s="126">
        <f>MAX(AZ38:AZ41)+1</f>
        <v>510.57142857142856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Brazil</v>
      </c>
      <c r="BM42" s="61">
        <v>1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1000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1</v>
      </c>
      <c r="G43" s="20">
        <v>4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Uruguay_lose</v>
      </c>
      <c r="T43" s="127" t="str">
        <f t="shared" si="2"/>
        <v>Cape Verde_win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-1</v>
      </c>
      <c r="BK43" s="142"/>
      <c r="BL43" s="26" t="str">
        <f>AS39</f>
        <v>Netherlands</v>
      </c>
      <c r="BM43" s="62">
        <v>0</v>
      </c>
      <c r="BN43" s="64"/>
      <c r="BO43" s="27"/>
      <c r="BP43" s="113">
        <f>IF(BP42="","",BM43*1000+BN43*10+BO43)</f>
        <v>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2</v>
      </c>
      <c r="G44" s="20">
        <v>1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2</v>
      </c>
      <c r="AG44" s="123">
        <f>COUNTIF($S$7:$T$78,"=" &amp; AE44 &amp; "_draw")</f>
        <v>0</v>
      </c>
      <c r="AH44" s="123">
        <f>COUNTIF($S$7:$T$78,"=" &amp; AE44 &amp; "_lose")</f>
        <v>1</v>
      </c>
      <c r="AI44" s="123">
        <f>SUMIF($E$7:$E$78,$AE44,$F$7:$F$78) + SUMIF($H$7:$H$78,$AE44,$G$7:$G$78)</f>
        <v>8</v>
      </c>
      <c r="AJ44" s="123">
        <f>SUMIF($E$7:$E$78,$AE44,$G$7:$G$78) + SUMIF($H$7:$H$78,$AE44,$F$7:$F$78)</f>
        <v>6</v>
      </c>
      <c r="AL44" s="123">
        <f>AI44-AJ44</f>
        <v>2</v>
      </c>
      <c r="AM44" s="123">
        <f>AL44-AL48</f>
        <v>4</v>
      </c>
      <c r="AN44" s="123">
        <f>AF44*3+AG44</f>
        <v>6</v>
      </c>
      <c r="AO44" s="123">
        <f>AN44/AN48*10+BA44</f>
        <v>9.5694699816132385</v>
      </c>
      <c r="AP44" s="123">
        <f>AO44*10000000+BI44*100+AM44/AM48*10+AI44/AI48*1++IF(AQ44=0,ROW(),AQ44)/2000000</f>
        <v>95694708.705888629</v>
      </c>
      <c r="AQ44" s="126">
        <f>VLOOKUP(AE44,db_fifarank,2,FALSE)</f>
        <v>1734.71</v>
      </c>
      <c r="AR44" s="125">
        <f>AP44/AP48</f>
        <v>0.9999999895501015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1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4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3</v>
      </c>
      <c r="AY44" s="126">
        <f>AX44-MIN(AX44:AX47)</f>
        <v>6</v>
      </c>
      <c r="AZ44" s="126">
        <f>AT44/AT48*1000+AU44/AU48*100+AY44/AY48*10+AV44/AV48</f>
        <v>509.57142857142856</v>
      </c>
      <c r="BA44" s="126">
        <f>AZ44/AZ48</f>
        <v>0.99804141018466708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>Brazil</v>
      </c>
      <c r="BT44" s="61">
        <v>0</v>
      </c>
      <c r="BU44" s="63"/>
      <c r="BV44" s="25"/>
      <c r="BW44" s="112">
        <f>IF(OR(BT44="",BT45="",AND(BU44="",BU45&lt;&gt;""),AND(BU45="",BU44&lt;&gt;""),AND(BV44="",BV45&lt;&gt;""),AND(BV45="",BV44&lt;&gt;"")),"",BT44*1000+BU44*10+BV44)</f>
        <v>0</v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3</v>
      </c>
      <c r="G45" s="20">
        <v>1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2</v>
      </c>
      <c r="M45" s="31">
        <f>VLOOKUP(1,AD44:AN47,4,FALSE)</f>
        <v>0</v>
      </c>
      <c r="N45" s="31">
        <f>VLOOKUP(1,AD44:AN47,5,FALSE)</f>
        <v>1</v>
      </c>
      <c r="O45" s="31" t="str">
        <f>VLOOKUP(1,AD44:AN47,6,FALSE) &amp; " - " &amp; VLOOKUP(1,AD44:AN47,7,FALSE)</f>
        <v>8 - 6</v>
      </c>
      <c r="P45" s="32">
        <f>L45*3+M45</f>
        <v>6</v>
      </c>
      <c r="R45" s="123">
        <f>DATE(2026,6,21)+TIME(8,0,0)+gmt_delta</f>
        <v>46194.791666666672</v>
      </c>
      <c r="S45" s="127" t="str">
        <f t="shared" si="1"/>
        <v>Belgium_win</v>
      </c>
      <c r="T45" s="127" t="str">
        <f t="shared" si="2"/>
        <v>Iran_lose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1</v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0</v>
      </c>
      <c r="AH45" s="123">
        <f>COUNTIF($S$7:$T$78,"=" &amp; AE45 &amp; "_lose")</f>
        <v>2</v>
      </c>
      <c r="AI45" s="123">
        <f>SUMIF($E$7:$E$78,$AE45,$F$7:$F$78) + SUMIF($H$7:$H$78,$AE45,$G$7:$G$78)</f>
        <v>7</v>
      </c>
      <c r="AJ45" s="123">
        <f>SUMIF($E$7:$E$78,$AE45,$G$7:$G$78) + SUMIF($H$7:$H$78,$AE45,$F$7:$F$78)</f>
        <v>7</v>
      </c>
      <c r="AL45" s="123">
        <f>AI45-AJ45</f>
        <v>0</v>
      </c>
      <c r="AM45" s="123">
        <f>AL45-AL48</f>
        <v>2</v>
      </c>
      <c r="AN45" s="123">
        <f>AF45*3+AG45</f>
        <v>3</v>
      </c>
      <c r="AO45" s="123">
        <f>AN45/AN48*10+BA45</f>
        <v>4.2890019186185944</v>
      </c>
      <c r="AP45" s="123">
        <f>AO45*10000000+BI45*100+AM45/AM48*10+AI45/AI48*1++IF(AQ45=0,ROW(),AQ45)/2000000</f>
        <v>42890023.964745335</v>
      </c>
      <c r="AQ45" s="126">
        <f>VLOOKUP(AE45,db_fifarank,2,FALSE)</f>
        <v>1563.24</v>
      </c>
      <c r="AR45" s="125">
        <f>AP45/AP48</f>
        <v>0.44819639556423746</v>
      </c>
      <c r="AS45" s="125" t="str">
        <f>IF(SUM(AF44:AH47)=12,J46,"2G")</f>
        <v>New Zealand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3</v>
      </c>
      <c r="AX45" s="126">
        <f>AV45-AW45</f>
        <v>-2</v>
      </c>
      <c r="AY45" s="126">
        <f>AX45-MIN(AX44:AX47)</f>
        <v>1</v>
      </c>
      <c r="AZ45" s="126">
        <f>AT45/AT48*1000+AU45/AU48*100+AY45/AY48*10+AV45/AV48</f>
        <v>1.6785714285714284</v>
      </c>
      <c r="BA45" s="126">
        <f>AZ45/AZ48</f>
        <v>3.2876329043088973E-3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>France</v>
      </c>
      <c r="BT45" s="62">
        <v>1</v>
      </c>
      <c r="BU45" s="64"/>
      <c r="BV45" s="27"/>
      <c r="BW45" s="113">
        <f>IF(BW44="","",BT45*1000+BU45*10+BV45)</f>
        <v>1000</v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3</v>
      </c>
      <c r="G46" s="20">
        <v>2</v>
      </c>
      <c r="H46" s="80" t="str">
        <f>AE45</f>
        <v>Egypt</v>
      </c>
      <c r="J46" s="33" t="str">
        <f>VLOOKUP(2,AD44:AN47,2,FALSE)</f>
        <v>New Zealand</v>
      </c>
      <c r="K46" s="23">
        <f>L46+M46+N46</f>
        <v>3</v>
      </c>
      <c r="L46" s="23">
        <f>VLOOKUP(2,AD44:AN47,3,FALSE)</f>
        <v>2</v>
      </c>
      <c r="M46" s="23">
        <f>VLOOKUP(2,AD44:AN47,4,FALSE)</f>
        <v>0</v>
      </c>
      <c r="N46" s="23">
        <f>VLOOKUP(2,AD44:AN47,5,FALSE)</f>
        <v>1</v>
      </c>
      <c r="O46" s="23" t="str">
        <f>VLOOKUP(2,AD44:AN47,6,FALSE) &amp; " - " &amp; VLOOKUP(2,AD44:AN47,7,FALSE)</f>
        <v>7 - 7</v>
      </c>
      <c r="P46" s="34">
        <f>L46*3+M46</f>
        <v>6</v>
      </c>
      <c r="R46" s="123">
        <f>DATE(2026,6,21)+TIME(14,0,0)+gmt_delta</f>
        <v>46195.041666666672</v>
      </c>
      <c r="S46" s="127" t="str">
        <f t="shared" si="1"/>
        <v>New Zealand_win</v>
      </c>
      <c r="T46" s="127" t="str">
        <f t="shared" si="2"/>
        <v>Egypt_lose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1</v>
      </c>
      <c r="AG46" s="123">
        <f>COUNTIF($S$7:$T$78,"=" &amp; AE46 &amp; "_draw")</f>
        <v>0</v>
      </c>
      <c r="AH46" s="123">
        <f>COUNTIF($S$7:$T$78,"=" &amp; AE46 &amp; "_lose")</f>
        <v>2</v>
      </c>
      <c r="AI46" s="123">
        <f>SUMIF($E$7:$E$78,$AE46,$F$7:$F$78) + SUMIF($H$7:$H$78,$AE46,$G$7:$G$78)</f>
        <v>5</v>
      </c>
      <c r="AJ46" s="123">
        <f>SUMIF($E$7:$E$78,$AE46,$G$7:$G$78) + SUMIF($H$7:$H$78,$AE46,$F$7:$F$78)</f>
        <v>7</v>
      </c>
      <c r="AL46" s="123">
        <f>AI46-AJ46</f>
        <v>-2</v>
      </c>
      <c r="AM46" s="123">
        <f>AL46-AL48</f>
        <v>0</v>
      </c>
      <c r="AN46" s="123">
        <f>AF46*3+AG46</f>
        <v>3</v>
      </c>
      <c r="AO46" s="123">
        <f>AN46/AN48*10+BA46</f>
        <v>5.2804680629946441</v>
      </c>
      <c r="AP46" s="123">
        <f>AO46*10000000+BI46*100+AM46/AM48*10+AI46/AI48*1++IF(AQ46=0,ROW(),AQ46)/2000000</f>
        <v>52804681.186309643</v>
      </c>
      <c r="AQ46" s="126">
        <f>VLOOKUP(AE46,db_fifarank,2,FALSE)</f>
        <v>1615.3</v>
      </c>
      <c r="AR46" s="125">
        <f>AP46/AP48</f>
        <v>0.55180355683821336</v>
      </c>
      <c r="AT46" s="126" cm="1">
        <f t="array" ref="AT46">SUMPRODUCT(($S$7:$S$78=AE46&amp;"_win")*($U$7:$U$78))+SUMPRODUCT(($T$7:$T$78=AE46&amp;"_win")*($U$7:$U$78))</f>
        <v>1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3</v>
      </c>
      <c r="AW46" s="126" cm="1">
        <f t="array" ref="AW46">SUMPRODUCT(($E$7:$E$78=AE46)*($U$7:$U$78)*($G$7:$G$78))+SUMPRODUCT(($H$7:$H$78=AE46)*($U$7:$U$78)*($F$7:$F$78))</f>
        <v>1</v>
      </c>
      <c r="AX46" s="126">
        <f>AV46-AW46</f>
        <v>2</v>
      </c>
      <c r="AY46" s="126">
        <f>AX46-MIN(AX44:AX47)</f>
        <v>5</v>
      </c>
      <c r="AZ46" s="126">
        <f>AT46/AT48*1000+AU46/AU48*100+AY46/AY48*10+AV46/AV48</f>
        <v>507.89285714285717</v>
      </c>
      <c r="BA46" s="126">
        <f>AZ46/AZ48</f>
        <v>0.99475377728035819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Ecuador</v>
      </c>
      <c r="BM46" s="61">
        <v>0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1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1</v>
      </c>
      <c r="M47" s="23">
        <f>VLOOKUP(3,AD44:AN47,4,FALSE)</f>
        <v>0</v>
      </c>
      <c r="N47" s="23">
        <f>VLOOKUP(3,AD44:AN47,5,FALSE)</f>
        <v>2</v>
      </c>
      <c r="O47" s="23" t="str">
        <f>VLOOKUP(3,AD44:AN47,6,FALSE) &amp; " - " &amp; VLOOKUP(3,AD44:AN47,7,FALSE)</f>
        <v>5 - 7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2</v>
      </c>
      <c r="AG47" s="123">
        <f>COUNTIF($S$7:$T$78,"=" &amp; AE47 &amp; "_draw")</f>
        <v>0</v>
      </c>
      <c r="AH47" s="123">
        <f>COUNTIF($S$7:$T$78,"=" &amp; AE47 &amp; "_lose")</f>
        <v>1</v>
      </c>
      <c r="AI47" s="123">
        <f>SUMIF($E$7:$E$78,$AE47,$F$7:$F$78) + SUMIF($H$7:$H$78,$AE47,$G$7:$G$78)</f>
        <v>7</v>
      </c>
      <c r="AJ47" s="123">
        <f>SUMIF($E$7:$E$78,$AE47,$G$7:$G$78) + SUMIF($H$7:$H$78,$AE47,$F$7:$F$78)</f>
        <v>7</v>
      </c>
      <c r="AL47" s="123">
        <f>AI47-AJ47</f>
        <v>0</v>
      </c>
      <c r="AM47" s="123">
        <f>AL47-AL48</f>
        <v>2</v>
      </c>
      <c r="AN47" s="123">
        <f>AF47*3+AG47</f>
        <v>6</v>
      </c>
      <c r="AO47" s="123">
        <f>AN47/AN48*10+BA47</f>
        <v>8.5719182188824039</v>
      </c>
      <c r="AP47" s="123">
        <f>AO47*10000000+BI47*100+AM47/AM48*10+AI47/AI48*1++IF(AQ47=0,ROW(),AQ47)/2000000</f>
        <v>85719186.967242599</v>
      </c>
      <c r="AQ47" s="126">
        <f>VLOOKUP(AE47,db_fifarank,2,FALSE)</f>
        <v>1281.57</v>
      </c>
      <c r="AR47" s="125">
        <f>AP47/AP48</f>
        <v>0.89575680025254123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1</v>
      </c>
      <c r="AW47" s="126" cm="1">
        <f t="array" ref="AW47">SUMPRODUCT(($E$7:$E$78=AE47)*($U$7:$U$78)*($G$7:$G$78))+SUMPRODUCT(($H$7:$H$78=AE47)*($U$7:$U$78)*($F$7:$F$78))</f>
        <v>4</v>
      </c>
      <c r="AX47" s="126">
        <f>AV47-AW47</f>
        <v>-3</v>
      </c>
      <c r="AY47" s="126">
        <f>AX47-MIN(AX44:AX47)</f>
        <v>0</v>
      </c>
      <c r="AZ47" s="126">
        <f>AT47/AT48*1000+AU47/AU48*100+AY47/AY48*10+AV47/AV48</f>
        <v>0.25</v>
      </c>
      <c r="BA47" s="126">
        <f>AZ47/AZ48</f>
        <v>4.8964745383324004E-4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France</v>
      </c>
      <c r="BM47" s="62">
        <v>1</v>
      </c>
      <c r="BN47" s="64"/>
      <c r="BO47" s="27"/>
      <c r="BP47" s="112">
        <f>IF(BP46="","",BM47*1000+BN47*10+BO47)</f>
        <v>1000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4</v>
      </c>
      <c r="G48" s="20">
        <v>2</v>
      </c>
      <c r="H48" s="80" t="str">
        <f>AE58</f>
        <v>Iraq</v>
      </c>
      <c r="J48" s="35" t="str">
        <f>VLOOKUP(4,AD44:AN47,2,FALSE)</f>
        <v>Egypt</v>
      </c>
      <c r="K48" s="36">
        <f>L48+M48+N48</f>
        <v>3</v>
      </c>
      <c r="L48" s="36">
        <f>VLOOKUP(4,AD44:AN47,3,FALSE)</f>
        <v>1</v>
      </c>
      <c r="M48" s="36">
        <f>VLOOKUP(4,AD44:AN47,4,FALSE)</f>
        <v>0</v>
      </c>
      <c r="N48" s="36">
        <f>VLOOKUP(4,AD44:AN47,5,FALSE)</f>
        <v>2</v>
      </c>
      <c r="O48" s="36" t="str">
        <f>VLOOKUP(4,AD44:AN47,6,FALSE) &amp; " - " &amp; VLOOKUP(4,AD44:AN47,7,FALSE)</f>
        <v>7 - 7</v>
      </c>
      <c r="P48" s="37">
        <f>L48*3+M48</f>
        <v>3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1</v>
      </c>
      <c r="AH48" s="123">
        <f t="shared" si="24"/>
        <v>2</v>
      </c>
      <c r="AI48" s="123">
        <f>MAX(AI44:AI47)+1</f>
        <v>9</v>
      </c>
      <c r="AL48" s="123">
        <f>MIN(AL44:AL47)</f>
        <v>-2</v>
      </c>
      <c r="AM48" s="123">
        <f>MAX(AM44:AM47)+1</f>
        <v>5</v>
      </c>
      <c r="AN48" s="123">
        <f>MAX(AN44:AN47)+1</f>
        <v>7</v>
      </c>
      <c r="AO48" s="123">
        <f>MAX(AO44:AO47)+1</f>
        <v>10.569469981613238</v>
      </c>
      <c r="AP48" s="123">
        <f>MAX(AP44:AP47)+1</f>
        <v>95694709.705888629</v>
      </c>
      <c r="AT48" s="126">
        <f>MAX(AT44:AT47)-MIN(AT44:AT47)+1</f>
        <v>2</v>
      </c>
      <c r="AU48" s="126">
        <f>MAX(AU44:AU47)-MIN(AU44:AU47)+1</f>
        <v>1</v>
      </c>
      <c r="AV48" s="126">
        <f>MAX(AV44:AV47)-MIN(AV44:AV47)+1</f>
        <v>4</v>
      </c>
      <c r="AW48" s="126">
        <f>MAX(AW44:AW47)-MIN(AW44:AW47)+1</f>
        <v>4</v>
      </c>
      <c r="AY48" s="126">
        <f>MAX(AY44:AY47)-MIN(AY44:AY47)+1</f>
        <v>7</v>
      </c>
      <c r="AZ48" s="126">
        <f>MAX(AZ44:AZ47)+1</f>
        <v>510.57142857142856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>France</v>
      </c>
      <c r="CA48" s="61">
        <v>1</v>
      </c>
      <c r="CB48" s="63"/>
      <c r="CC48" s="25"/>
      <c r="CD48" s="112">
        <f>IF(OR(CA48="",CA49="",AND(CB48="",CB49&lt;&gt;""),AND(CB49="",CB48&lt;&gt;""),AND(CC48="",CC49&lt;&gt;""),AND(CC49="",CC48&lt;&gt;"")),"",CA48*1000+CB48*10+CC48)</f>
        <v>1000</v>
      </c>
      <c r="CK48" s="114"/>
      <c r="CL48" s="112"/>
      <c r="CM48" s="141">
        <v>103</v>
      </c>
      <c r="CN48" s="24" t="str">
        <f>IF(CK23&gt;CK24,CG24,IF(CK23&lt;CK24,CG23,""))</f>
        <v>Norway</v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1</v>
      </c>
      <c r="G49" s="20">
        <v>3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Argentina_lose</v>
      </c>
      <c r="T49" s="127" t="str">
        <f t="shared" si="20"/>
        <v>Austria_win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-1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>England</v>
      </c>
      <c r="CA49" s="62">
        <v>0</v>
      </c>
      <c r="CB49" s="64"/>
      <c r="CC49" s="27"/>
      <c r="CD49" s="113">
        <f>IF(CD48="","",CA49*1000+CB49*10+CC49)</f>
        <v>0</v>
      </c>
      <c r="CK49" s="114"/>
      <c r="CL49" s="115"/>
      <c r="CM49" s="142"/>
      <c r="CN49" s="26" t="str">
        <f>IF(CK55&gt;CK56,CG56,IF(CK55&lt;CK56,CG55,""))</f>
        <v>Portugal</v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4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0</v>
      </c>
      <c r="AH50" s="123">
        <f>COUNTIF($S$7:$T$78,"=" &amp; AE50 &amp; "_lose")</f>
        <v>1</v>
      </c>
      <c r="AI50" s="123">
        <f>SUMIF($E$7:$E$78,$AE50,$F$7:$F$78) + SUMIF($H$7:$H$78,$AE50,$G$7:$G$78)</f>
        <v>8</v>
      </c>
      <c r="AJ50" s="123">
        <f>SUMIF($E$7:$E$78,$AE50,$G$7:$G$78) + SUMIF($H$7:$H$78,$AE50,$F$7:$F$78)</f>
        <v>7</v>
      </c>
      <c r="AL50" s="123">
        <f>AI50-AJ50</f>
        <v>1</v>
      </c>
      <c r="AM50" s="123">
        <f>AL50-AL54</f>
        <v>4</v>
      </c>
      <c r="AN50" s="123">
        <f>AF50*3+AG50</f>
        <v>6</v>
      </c>
      <c r="AO50" s="123">
        <f>AN50/AN54*10+BA50</f>
        <v>9.5694677871148457</v>
      </c>
      <c r="AP50" s="123">
        <f>AO50*10000000+BI50*100+AM50/AM54*10+AI50/AI54*1++IF(AQ50=0,ROW(),AQ50)/2000000</f>
        <v>95694684.386372373</v>
      </c>
      <c r="AQ50" s="126">
        <f>VLOOKUP(AE50,db_fifarank,2,FALSE)</f>
        <v>1876.4</v>
      </c>
      <c r="AR50" s="125">
        <f>AP50/AP54</f>
        <v>0.99999998955009883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1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4</v>
      </c>
      <c r="AW50" s="126" cm="1">
        <f t="array" ref="AW50">SUMPRODUCT(($E$7:$E$78=AE50)*($U$7:$U$78)*($G$7:$G$78))+SUMPRODUCT(($H$7:$H$78=AE50)*($U$7:$U$78)*($F$7:$F$78))</f>
        <v>2</v>
      </c>
      <c r="AX50" s="126">
        <f>AV50-AW50</f>
        <v>2</v>
      </c>
      <c r="AY50" s="126">
        <f>AX50-MIN(AX50:AX53)</f>
        <v>4</v>
      </c>
      <c r="AZ50" s="126">
        <f>AT50/AT54*1000+AU50/AU54*100+AY50/AY54*10+AV50/AV54</f>
        <v>509</v>
      </c>
      <c r="BA50" s="126">
        <f>AZ50/AZ54</f>
        <v>0.99803921568627452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Mexico</v>
      </c>
      <c r="BM50" s="61">
        <v>1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1000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2</v>
      </c>
      <c r="G51" s="20">
        <v>1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0</v>
      </c>
      <c r="N51" s="31">
        <f>VLOOKUP(1,AD50:AN53,5,FALSE)</f>
        <v>1</v>
      </c>
      <c r="O51" s="31" t="str">
        <f>VLOOKUP(1,AD50:AN53,6,FALSE) &amp; " - " &amp; VLOOKUP(1,AD50:AN53,7,FALSE)</f>
        <v>8 - 7</v>
      </c>
      <c r="P51" s="32">
        <f>L51*3+M51</f>
        <v>6</v>
      </c>
      <c r="R51" s="123">
        <f>DATE(2026,6,23)+TIME(9,0,0)+gmt_delta</f>
        <v>46196.833333333336</v>
      </c>
      <c r="S51" s="127" t="str">
        <f t="shared" si="19"/>
        <v>England_win</v>
      </c>
      <c r="T51" s="127" t="str">
        <f t="shared" si="20"/>
        <v>Ghana_lose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1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2</v>
      </c>
      <c r="AG51" s="123">
        <f>COUNTIF($S$7:$T$78,"=" &amp; AE51 &amp; "_draw")</f>
        <v>0</v>
      </c>
      <c r="AH51" s="123">
        <f>COUNTIF($S$7:$T$78,"=" &amp; AE51 &amp; "_lose")</f>
        <v>1</v>
      </c>
      <c r="AI51" s="123">
        <f>SUMIF($E$7:$E$78,$AE51,$F$7:$F$78) + SUMIF($H$7:$H$78,$AE51,$G$7:$G$78)</f>
        <v>9</v>
      </c>
      <c r="AJ51" s="123">
        <f>SUMIF($E$7:$E$78,$AE51,$G$7:$G$78) + SUMIF($H$7:$H$78,$AE51,$F$7:$F$78)</f>
        <v>6</v>
      </c>
      <c r="AL51" s="123">
        <f>AI51-AJ51</f>
        <v>3</v>
      </c>
      <c r="AM51" s="123">
        <f>AL51-AL54</f>
        <v>6</v>
      </c>
      <c r="AN51" s="123">
        <f>AF51*3+AG51</f>
        <v>6</v>
      </c>
      <c r="AO51" s="123">
        <f>AN51/AN54*10+BA51</f>
        <v>8.5724089635854348</v>
      </c>
      <c r="AP51" s="123">
        <f>AO51*10000000+BI51*100+AM51/AM54*10+AI51/AI54*1++IF(AQ51=0,ROW(),AQ51)/2000000</f>
        <v>85724099.107965991</v>
      </c>
      <c r="AQ51" s="126">
        <f>VLOOKUP(AE51,db_fifarank,2,FALSE)</f>
        <v>1366.13</v>
      </c>
      <c r="AR51" s="125">
        <f>AP51/AP54</f>
        <v>0.89580835928192237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4</v>
      </c>
      <c r="AX51" s="126">
        <f>AV51-AW51</f>
        <v>-2</v>
      </c>
      <c r="AY51" s="126">
        <f>AX51-MIN(AX50:AX53)</f>
        <v>0</v>
      </c>
      <c r="AZ51" s="126">
        <f>AT51/AT54*1000+AU51/AU54*100+AY51/AY54*10+AV51/AV54</f>
        <v>0.5</v>
      </c>
      <c r="BA51" s="126">
        <f>AZ51/AZ54</f>
        <v>9.8039215686274508E-4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Saudi Arabia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3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2</v>
      </c>
      <c r="M52" s="23">
        <f>VLOOKUP(2,AD50:AN53,4,FALSE)</f>
        <v>0</v>
      </c>
      <c r="N52" s="23">
        <f>VLOOKUP(2,AD50:AN53,5,FALSE)</f>
        <v>1</v>
      </c>
      <c r="O52" s="23" t="str">
        <f>VLOOKUP(2,AD50:AN53,6,FALSE) &amp; " - " &amp; VLOOKUP(2,AD50:AN53,7,FALSE)</f>
        <v>9 - 6</v>
      </c>
      <c r="P52" s="34">
        <f>L52*3+M52</f>
        <v>6</v>
      </c>
      <c r="R52" s="123">
        <f>DATE(2026,6,23)+TIME(12,0,0)+gmt_delta</f>
        <v>46196.958333333336</v>
      </c>
      <c r="S52" s="127" t="str">
        <f t="shared" si="19"/>
        <v>Panama_win</v>
      </c>
      <c r="T52" s="127" t="str">
        <f t="shared" si="20"/>
        <v>Croatia_lose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1</v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1</v>
      </c>
      <c r="AG52" s="123">
        <f>COUNTIF($S$7:$T$78,"=" &amp; AE52 &amp; "_draw")</f>
        <v>0</v>
      </c>
      <c r="AH52" s="123">
        <f>COUNTIF($S$7:$T$78,"=" &amp; AE52 &amp; "_lose")</f>
        <v>2</v>
      </c>
      <c r="AI52" s="123">
        <f>SUMIF($E$7:$E$78,$AE52,$F$7:$F$78) + SUMIF($H$7:$H$78,$AE52,$G$7:$G$78)</f>
        <v>5</v>
      </c>
      <c r="AJ52" s="123">
        <f>SUMIF($E$7:$E$78,$AE52,$G$7:$G$78) + SUMIF($H$7:$H$78,$AE52,$F$7:$F$78)</f>
        <v>6</v>
      </c>
      <c r="AL52" s="123">
        <f>AI52-AJ52</f>
        <v>-1</v>
      </c>
      <c r="AM52" s="123">
        <f>AL52-AL54</f>
        <v>2</v>
      </c>
      <c r="AN52" s="123">
        <f>AF52*3+AG52</f>
        <v>3</v>
      </c>
      <c r="AO52" s="123">
        <f>AN52/AN54*10+BA52</f>
        <v>5.2832633053221283</v>
      </c>
      <c r="AP52" s="123">
        <f>AO52*10000000+BI52*100+AM52/AM54*10+AI52/AI54*1++IF(AQ52=0,ROW(),AQ52)/2000000</f>
        <v>52832636.411074862</v>
      </c>
      <c r="AQ52" s="126">
        <f>VLOOKUP(AE52,db_fifarank,2,FALSE)</f>
        <v>1421.43</v>
      </c>
      <c r="AR52" s="125">
        <f>AP52/AP54</f>
        <v>0.55209582640624488</v>
      </c>
      <c r="AT52" s="126" cm="1">
        <f t="array" ref="AT52">SUMPRODUCT(($S$7:$S$78=AE52&amp;"_win")*($U$7:$U$78))+SUMPRODUCT(($T$7:$T$78=AE52&amp;"_win")*($U$7:$U$78))</f>
        <v>1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3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2</v>
      </c>
      <c r="AY52" s="126">
        <f>AX52-MIN(AX50:AX53)</f>
        <v>4</v>
      </c>
      <c r="AZ52" s="126">
        <f>AT52/AT54*1000+AU52/AU54*100+AY52/AY54*10+AV52/AV54</f>
        <v>508.75</v>
      </c>
      <c r="BA52" s="126">
        <f>AZ52/AZ54</f>
        <v>0.99754901960784315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>Mexico</v>
      </c>
      <c r="BT52" s="61">
        <v>0</v>
      </c>
      <c r="BU52" s="63"/>
      <c r="BV52" s="25"/>
      <c r="BW52" s="116">
        <f>IF(OR(BT52="",BT53="",AND(BU52="",BU53&lt;&gt;""),AND(BU53="",BU52&lt;&gt;""),AND(BV52="",BV53&lt;&gt;""),AND(BV53="",BV52&lt;&gt;"")),"",BT52*1000+BU52*10+BV52)</f>
        <v>0</v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4</v>
      </c>
      <c r="G53" s="20">
        <v>2</v>
      </c>
      <c r="H53" s="80" t="str">
        <f>AE70</f>
        <v>Uzbekistan</v>
      </c>
      <c r="J53" s="33" t="str">
        <f>VLOOKUP(3,AD50:AN53,2,FALSE)</f>
        <v>Saudi Arabia</v>
      </c>
      <c r="K53" s="23">
        <f>L53+M53+N53</f>
        <v>3</v>
      </c>
      <c r="L53" s="23">
        <f>VLOOKUP(3,AD50:AN53,3,FALSE)</f>
        <v>1</v>
      </c>
      <c r="M53" s="23">
        <f>VLOOKUP(3,AD50:AN53,4,FALSE)</f>
        <v>0</v>
      </c>
      <c r="N53" s="23">
        <f>VLOOKUP(3,AD50:AN53,5,FALSE)</f>
        <v>2</v>
      </c>
      <c r="O53" s="23" t="str">
        <f>VLOOKUP(3,AD50:AN53,6,FALSE) &amp; " - " &amp; VLOOKUP(3,AD50:AN53,7,FALSE)</f>
        <v>5 - 6</v>
      </c>
      <c r="P53" s="34">
        <f>L53*3+M53</f>
        <v>3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4</v>
      </c>
      <c r="AE53" s="124" t="str">
        <f>VLOOKUP("Uruguay",T,lang,FALSE)</f>
        <v>Uruguay</v>
      </c>
      <c r="AF53" s="123">
        <f>COUNTIF($S$7:$T$78,"=" &amp; AE53 &amp; "_win")</f>
        <v>1</v>
      </c>
      <c r="AG53" s="123">
        <f>COUNTIF($S$7:$T$78,"=" &amp; AE53 &amp; "_draw")</f>
        <v>0</v>
      </c>
      <c r="AH53" s="123">
        <f>COUNTIF($S$7:$T$78,"=" &amp; AE53 &amp; "_lose")</f>
        <v>2</v>
      </c>
      <c r="AI53" s="123">
        <f>SUMIF($E$7:$E$78,$AE53,$F$7:$F$78) + SUMIF($H$7:$H$78,$AE53,$G$7:$G$78)</f>
        <v>6</v>
      </c>
      <c r="AJ53" s="123">
        <f>SUMIF($E$7:$E$78,$AE53,$G$7:$G$78) + SUMIF($H$7:$H$78,$AE53,$F$7:$F$78)</f>
        <v>9</v>
      </c>
      <c r="AL53" s="123">
        <f>AI53-AJ53</f>
        <v>-3</v>
      </c>
      <c r="AM53" s="123">
        <f>AL53-AL54</f>
        <v>0</v>
      </c>
      <c r="AN53" s="123">
        <f>AF53*3+AG53</f>
        <v>3</v>
      </c>
      <c r="AO53" s="123">
        <f>AN53/AN54*10+BA53</f>
        <v>4.2862044817927174</v>
      </c>
      <c r="AP53" s="123">
        <f>AO53*10000000+BI53*100+AM53/AM54*10+AI53/AI54*1++IF(AQ53=0,ROW(),AQ53)/2000000</f>
        <v>42862045.418763712</v>
      </c>
      <c r="AQ53" s="126">
        <f>VLOOKUP(AE53,db_fifarank,2,FALSE)</f>
        <v>1673.07</v>
      </c>
      <c r="AR53" s="125">
        <f>AP53/AP54</f>
        <v>0.4479041364283286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3</v>
      </c>
      <c r="AX53" s="126">
        <f>AV53-AW53</f>
        <v>-2</v>
      </c>
      <c r="AY53" s="126">
        <f>AX53-MIN(AX50:AX53)</f>
        <v>0</v>
      </c>
      <c r="AZ53" s="126">
        <f>AT53/AT54*1000+AU53/AU54*100+AY53/AY54*10+AV53/AV54</f>
        <v>0.25</v>
      </c>
      <c r="BA53" s="126">
        <f>AZ53/AZ54</f>
        <v>4.9019607843137254E-4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>England</v>
      </c>
      <c r="BT53" s="62">
        <v>1</v>
      </c>
      <c r="BU53" s="64"/>
      <c r="BV53" s="27"/>
      <c r="BW53" s="112">
        <f>IF(BW52="","",BT53*1000+BU53*10+BV53)</f>
        <v>1000</v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3</v>
      </c>
      <c r="H54" s="80" t="str">
        <f>AE69</f>
        <v>DR Congo</v>
      </c>
      <c r="J54" s="35" t="str">
        <f>VLOOKUP(4,AD50:AN53,2,FALSE)</f>
        <v>Uruguay</v>
      </c>
      <c r="K54" s="36">
        <f>L54+M54+N54</f>
        <v>3</v>
      </c>
      <c r="L54" s="36">
        <f>VLOOKUP(4,AD50:AN53,3,FALSE)</f>
        <v>1</v>
      </c>
      <c r="M54" s="36">
        <f>VLOOKUP(4,AD50:AN53,4,FALSE)</f>
        <v>0</v>
      </c>
      <c r="N54" s="36">
        <f>VLOOKUP(4,AD50:AN53,5,FALSE)</f>
        <v>2</v>
      </c>
      <c r="O54" s="36" t="str">
        <f>VLOOKUP(4,AD50:AN53,6,FALSE) &amp; " - " &amp; VLOOKUP(4,AD50:AN53,7,FALSE)</f>
        <v>6 - 9</v>
      </c>
      <c r="P54" s="37">
        <f>L54*3+M54</f>
        <v>3</v>
      </c>
      <c r="R54" s="123">
        <f>DATE(2026,6,23)+TIME(15,0,0)+gmt_delta</f>
        <v>46197.083333333336</v>
      </c>
      <c r="S54" s="127" t="str">
        <f t="shared" si="19"/>
        <v>Colombia_lose</v>
      </c>
      <c r="T54" s="127" t="str">
        <f t="shared" si="20"/>
        <v>DR Congo_win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-1</v>
      </c>
      <c r="AF54" s="123">
        <f t="shared" ref="AF54:AH54" si="25">MAX(AF50:AF53)-MIN(AF50:AF53)+1</f>
        <v>2</v>
      </c>
      <c r="AG54" s="123">
        <f t="shared" si="25"/>
        <v>1</v>
      </c>
      <c r="AH54" s="123">
        <f t="shared" si="25"/>
        <v>2</v>
      </c>
      <c r="AI54" s="123">
        <f>MAX(AI50:AI53)+1</f>
        <v>10</v>
      </c>
      <c r="AL54" s="123">
        <f>MIN(AL50:AL53)</f>
        <v>-3</v>
      </c>
      <c r="AM54" s="123">
        <f>MAX(AM50:AM53)+1</f>
        <v>7</v>
      </c>
      <c r="AN54" s="123">
        <f>MAX(AN50:AN53)+1</f>
        <v>7</v>
      </c>
      <c r="AO54" s="123">
        <f>MAX(AO50:AO53)+1</f>
        <v>10.569467787114846</v>
      </c>
      <c r="AP54" s="123">
        <f>MAX(AP50:AP53)+1</f>
        <v>95694685.386372373</v>
      </c>
      <c r="AT54" s="126">
        <f>MAX(AT50:AT53)-MIN(AT50:AT53)+1</f>
        <v>2</v>
      </c>
      <c r="AU54" s="126">
        <f>MAX(AU50:AU53)-MIN(AU50:AU53)+1</f>
        <v>1</v>
      </c>
      <c r="AV54" s="126">
        <f>MAX(AV50:AV53)-MIN(AV50:AV53)+1</f>
        <v>4</v>
      </c>
      <c r="AW54" s="126">
        <f>MAX(AW50:AW53)-MIN(AW50:AW53)+1</f>
        <v>4</v>
      </c>
      <c r="AY54" s="126">
        <f>MAX(AY50:AY53)-MIN(AY50:AY53)+1</f>
        <v>5</v>
      </c>
      <c r="AZ54" s="126">
        <f>MAX(AZ50:AZ53)+1</f>
        <v>510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England</v>
      </c>
      <c r="BM54" s="61">
        <v>1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1000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1</v>
      </c>
      <c r="G55" s="20">
        <v>4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42"/>
      <c r="BL55" s="26" t="str">
        <f>IF(group_round_completed,VLOOKUP('3rd places'!K3,AK80:AS91,9,FALSE),"3rd Group E/H/I/J/K")</f>
        <v>Uzbekistan</v>
      </c>
      <c r="BM55" s="62">
        <v>0</v>
      </c>
      <c r="BN55" s="64"/>
      <c r="BO55" s="27"/>
      <c r="BP55" s="112">
        <f>IF(BP54="","",BM55*1000+BN55*10+BO55)</f>
        <v>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>France</v>
      </c>
      <c r="CH55" s="61">
        <v>1</v>
      </c>
      <c r="CI55" s="63"/>
      <c r="CJ55" s="25"/>
      <c r="CK55" s="116">
        <f>IF(OR(CH55="",CH56="",AND(CI55="",CI56&lt;&gt;""),AND(CI56="",CI55&lt;&gt;""),AND(CJ55="",CJ56&lt;&gt;""),AND(CJ56="",CJ55&lt;&gt;"")),"",CH55*1000+CI55*10+CJ55)</f>
        <v>1000</v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3</v>
      </c>
      <c r="G56" s="20">
        <v>1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1</v>
      </c>
      <c r="AI56" s="123">
        <f>SUMIF($E$7:$E$78,$AE56,$F$7:$F$78) + SUMIF($H$7:$H$78,$AE56,$G$7:$G$78)</f>
        <v>7</v>
      </c>
      <c r="AJ56" s="123">
        <f>SUMIF($E$7:$E$78,$AE56,$G$7:$G$78) + SUMIF($H$7:$H$78,$AE56,$F$7:$F$78)</f>
        <v>6</v>
      </c>
      <c r="AL56" s="123">
        <f>AI56-AJ56</f>
        <v>1</v>
      </c>
      <c r="AM56" s="123">
        <f>AL56-AL60</f>
        <v>3</v>
      </c>
      <c r="AN56" s="123">
        <f>AF56*3+AG56</f>
        <v>6</v>
      </c>
      <c r="AO56" s="123">
        <f>AN56/AN60*10+BA56</f>
        <v>8.5719187675070021</v>
      </c>
      <c r="AP56" s="123">
        <f>AO56*10000000+BI56*100+AM56/AM60*10+AI56/AI60*1++IF(AQ56=0,ROW(),AQ56)/2000000</f>
        <v>85719194.551008672</v>
      </c>
      <c r="AQ56" s="126">
        <f>VLOOKUP(AE56,db_fifarank,2,FALSE)</f>
        <v>1877.32</v>
      </c>
      <c r="AR56" s="125">
        <f>AP56/AP60</f>
        <v>0.89580297256162156</v>
      </c>
      <c r="AS56" s="125" t="str">
        <f>IF(SUM(AF56:AH59)=12,J57,"1I")</f>
        <v>Norway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1</v>
      </c>
      <c r="AW56" s="126" cm="1">
        <f t="array" ref="AW56">SUMPRODUCT(($E$7:$E$78=AE56)*($U$7:$U$78)*($G$7:$G$78))+SUMPRODUCT(($H$7:$H$78=AE56)*($U$7:$U$78)*($F$7:$F$78))</f>
        <v>3</v>
      </c>
      <c r="AX56" s="126">
        <f>AV56-AW56</f>
        <v>-2</v>
      </c>
      <c r="AY56" s="126">
        <f>AX56-MIN(AX56:AX59)</f>
        <v>0</v>
      </c>
      <c r="AZ56" s="126">
        <f>AT56/AT60*1000+AU56/AU60*100+AY56/AY60*10+AV56/AV60</f>
        <v>0.25</v>
      </c>
      <c r="BA56" s="126">
        <f>AZ56/AZ60</f>
        <v>4.9019607843137254E-4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>Portugal</v>
      </c>
      <c r="CH56" s="62">
        <v>0</v>
      </c>
      <c r="CI56" s="64"/>
      <c r="CJ56" s="27"/>
      <c r="CK56" s="112">
        <f>IF(CK55="","",CH56*1000+CI56*10+CJ56)</f>
        <v>0</v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4</v>
      </c>
      <c r="G57" s="20">
        <v>2</v>
      </c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3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1</v>
      </c>
      <c r="O57" s="31" t="str">
        <f>VLOOKUP(1,AD56:AN59,6,FALSE) &amp; " - " &amp; VLOOKUP(1,AD56:AN59,7,FALSE)</f>
        <v>7 - 5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1</v>
      </c>
      <c r="V57" s="123">
        <f t="shared" si="21"/>
        <v>4</v>
      </c>
      <c r="W57" s="123">
        <f t="shared" si="22"/>
        <v>2</v>
      </c>
      <c r="X57" s="123">
        <f t="shared" si="9"/>
        <v>1</v>
      </c>
      <c r="Y57" s="123">
        <f t="shared" si="10"/>
        <v>4</v>
      </c>
      <c r="Z57" s="123">
        <f t="shared" si="11"/>
        <v>2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6</v>
      </c>
      <c r="AJ57" s="123">
        <f>SUMIF($E$7:$E$78,$AE57,$G$7:$G$78) + SUMIF($H$7:$H$78,$AE57,$F$7:$F$78)</f>
        <v>7</v>
      </c>
      <c r="AL57" s="123">
        <f>AI57-AJ57</f>
        <v>-1</v>
      </c>
      <c r="AM57" s="123">
        <f>AL57-AL60</f>
        <v>1</v>
      </c>
      <c r="AN57" s="123">
        <f>AF57*3+AG57</f>
        <v>3</v>
      </c>
      <c r="AO57" s="123">
        <f>AN57/AN60*10+BA57</f>
        <v>5.2837535014005601</v>
      </c>
      <c r="AP57" s="123">
        <f>AO57*10000000+BI57*100+AM57/AM60*10+AI57/AI60*1++IF(AQ57=0,ROW(),AQ57)/2000000</f>
        <v>52837537.764850095</v>
      </c>
      <c r="AQ57" s="126">
        <f>VLOOKUP(AE57,db_fifarank,2,FALSE)</f>
        <v>1688.99</v>
      </c>
      <c r="AR57" s="125">
        <f>AP57/AP60</f>
        <v>0.55217531663137498</v>
      </c>
      <c r="AS57" s="125" t="str">
        <f>IF(SUM(AF56:AH59)=12,J58,"2I")</f>
        <v>France</v>
      </c>
      <c r="AT57" s="126" cm="1">
        <f t="array" ref="AT57">SUMPRODUCT(($S$7:$S$78=AE57&amp;"_win")*($U$7:$U$78))+SUMPRODUCT(($T$7:$T$78=AE57&amp;"_win")*($U$7:$U$78))</f>
        <v>1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4</v>
      </c>
      <c r="AW57" s="126" cm="1">
        <f t="array" ref="AW57">SUMPRODUCT(($E$7:$E$78=AE57)*($U$7:$U$78)*($G$7:$G$78))+SUMPRODUCT(($H$7:$H$78=AE57)*($U$7:$U$78)*($F$7:$F$78))</f>
        <v>2</v>
      </c>
      <c r="AX57" s="126">
        <f>AV57-AW57</f>
        <v>2</v>
      </c>
      <c r="AY57" s="126">
        <f>AX57-MIN(AX56:AX59)</f>
        <v>4</v>
      </c>
      <c r="AZ57" s="126">
        <f>AT57/AT60*1000+AU57/AU60*100+AY57/AY60*10+AV57/AV60</f>
        <v>509</v>
      </c>
      <c r="BA57" s="126">
        <f>AZ57/AZ60</f>
        <v>0.99803921568627452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1</v>
      </c>
      <c r="G58" s="20">
        <v>3</v>
      </c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7 - 6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Herzegovina_lose</v>
      </c>
      <c r="T58" s="127" t="str">
        <f t="shared" si="20"/>
        <v>Qatar_win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-1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1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7</v>
      </c>
      <c r="AJ58" s="123">
        <f>SUMIF($E$7:$E$78,$AE58,$G$7:$G$78) + SUMIF($H$7:$H$78,$AE58,$F$7:$F$78)</f>
        <v>9</v>
      </c>
      <c r="AL58" s="123">
        <f>AI58-AJ58</f>
        <v>-2</v>
      </c>
      <c r="AM58" s="123">
        <f>AL58-AL60</f>
        <v>0</v>
      </c>
      <c r="AN58" s="123">
        <f>AF58*3+AG58</f>
        <v>3</v>
      </c>
      <c r="AO58" s="123">
        <f>AN58/AN60*10+BA58</f>
        <v>4.2866946778711483</v>
      </c>
      <c r="AP58" s="123">
        <f>AO58*10000000+BI58*100+AM58/AM60*10+AI58/AI60*1++IF(AQ58=0,ROW(),AQ58)/2000000</f>
        <v>42866947.654435053</v>
      </c>
      <c r="AQ58" s="126">
        <f>VLOOKUP(AE58,db_fifarank,2,FALSE)</f>
        <v>1447.14</v>
      </c>
      <c r="AR58" s="125">
        <f>AP58/AP60</f>
        <v>0.44797830094676838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2</v>
      </c>
      <c r="AW58" s="126" cm="1">
        <f t="array" ref="AW58">SUMPRODUCT(($E$7:$E$78=AE58)*($U$7:$U$78)*($G$7:$G$78))+SUMPRODUCT(($H$7:$H$78=AE58)*($U$7:$U$78)*($F$7:$F$78))</f>
        <v>4</v>
      </c>
      <c r="AX58" s="126">
        <f>AV58-AW58</f>
        <v>-2</v>
      </c>
      <c r="AY58" s="126">
        <f>AX58-MIN(AX56:AX59)</f>
        <v>0</v>
      </c>
      <c r="AZ58" s="126">
        <f>AT58/AT60*1000+AU58/AU60*100+AY58/AY60*10+AV58/AV60</f>
        <v>0.5</v>
      </c>
      <c r="BA58" s="126">
        <f>AZ58/AZ60</f>
        <v>9.8039215686274508E-4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Algeria</v>
      </c>
      <c r="BM58" s="61">
        <v>1</v>
      </c>
      <c r="BN58" s="63"/>
      <c r="BO58" s="25"/>
      <c r="BP58" s="112">
        <f>IF(OR(BM58="",BM59="",AND(BN58="",BN59&lt;&gt;""),AND(BN59="",BN58&lt;&gt;""),AND(BO58="",BO59&lt;&gt;""),AND(BO59="",BO58&lt;&gt;"")),"",BM58*1000+BN58*10+BO58)</f>
        <v>1000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1</v>
      </c>
      <c r="G59" s="20">
        <v>4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6 - 7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1</v>
      </c>
      <c r="V59" s="123">
        <f t="shared" si="21"/>
        <v>1</v>
      </c>
      <c r="W59" s="123">
        <f t="shared" si="22"/>
        <v>4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5</v>
      </c>
      <c r="AL59" s="123">
        <f>AI59-AJ59</f>
        <v>2</v>
      </c>
      <c r="AM59" s="123">
        <f>AL59-AL60</f>
        <v>4</v>
      </c>
      <c r="AN59" s="123">
        <f>AF59*3+AG59</f>
        <v>6</v>
      </c>
      <c r="AO59" s="123">
        <f>AN59/AN60*10+BA59</f>
        <v>9.5689775910364148</v>
      </c>
      <c r="AP59" s="123">
        <f>AO59*10000000+BI59*100+AM59/AM60*10+AI59/AI60*1++IF(AQ59=0,ROW(),AQ59)/2000000</f>
        <v>95689784.786139622</v>
      </c>
      <c r="AQ59" s="126">
        <f>VLOOKUP(AE59,db_fifarank,2,FALSE)</f>
        <v>1550.94</v>
      </c>
      <c r="AR59" s="125">
        <f>AP59/AP60</f>
        <v>0.99999998954956382</v>
      </c>
      <c r="AT59" s="126" cm="1">
        <f t="array" ref="AT59">SUMPRODUCT(($S$7:$S$78=AE59&amp;"_win")*($U$7:$U$78))+SUMPRODUCT(($T$7:$T$78=AE59&amp;"_win")*($U$7:$U$78))</f>
        <v>1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3</v>
      </c>
      <c r="AW59" s="126" cm="1">
        <f t="array" ref="AW59">SUMPRODUCT(($E$7:$E$78=AE59)*($U$7:$U$78)*($G$7:$G$78))+SUMPRODUCT(($H$7:$H$78=AE59)*($U$7:$U$78)*($F$7:$F$78))</f>
        <v>1</v>
      </c>
      <c r="AX59" s="126">
        <f>AV59-AW59</f>
        <v>2</v>
      </c>
      <c r="AY59" s="126">
        <f>AX59-MIN(AX56:AX59)</f>
        <v>4</v>
      </c>
      <c r="AZ59" s="126">
        <f>AT59/AT60*1000+AU59/AU60*100+AY59/AY60*10+AV59/AV60</f>
        <v>508.75</v>
      </c>
      <c r="BA59" s="126">
        <f>AZ59/AZ60</f>
        <v>0.99754901960784315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Cape Verde</v>
      </c>
      <c r="BM59" s="62">
        <v>0</v>
      </c>
      <c r="BN59" s="64"/>
      <c r="BO59" s="27"/>
      <c r="BP59" s="113">
        <f>IF(BP58="","",BM59*1000+BN59*10+BO59)</f>
        <v>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3</v>
      </c>
      <c r="G60" s="20">
        <v>1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1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7 - 9</v>
      </c>
      <c r="P60" s="37">
        <f>L60*3+M60</f>
        <v>3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8</v>
      </c>
      <c r="AL60" s="123">
        <f>MIN(AL56:AL59)</f>
        <v>-2</v>
      </c>
      <c r="AM60" s="123">
        <f>MAX(AM56:AM59)+1</f>
        <v>5</v>
      </c>
      <c r="AN60" s="123">
        <f>MAX(AN56:AN59)+1</f>
        <v>7</v>
      </c>
      <c r="AO60" s="123">
        <f>MAX(AO56:AO59)+1</f>
        <v>10.568977591036415</v>
      </c>
      <c r="AP60" s="123">
        <f>MAX(AP56:AP59)+1</f>
        <v>95689785.786139622</v>
      </c>
      <c r="AT60" s="126">
        <f>MAX(AT56:AT59)-MIN(AT56:AT59)+1</f>
        <v>2</v>
      </c>
      <c r="AU60" s="126">
        <f>MAX(AU56:AU59)-MIN(AU56:AU59)+1</f>
        <v>1</v>
      </c>
      <c r="AV60" s="126">
        <f>MAX(AV56:AV59)-MIN(AV56:AV59)+1</f>
        <v>4</v>
      </c>
      <c r="AW60" s="126">
        <f>MAX(AW56:AW59)-MIN(AW56:AW59)+1</f>
        <v>4</v>
      </c>
      <c r="AY60" s="126">
        <f>MAX(AY56:AY59)-MIN(AY56:AY59)+1</f>
        <v>5</v>
      </c>
      <c r="AZ60" s="126">
        <f>MAX(AZ56:AZ59)+1</f>
        <v>510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>Algeria</v>
      </c>
      <c r="BT60" s="61">
        <v>0</v>
      </c>
      <c r="BU60" s="63"/>
      <c r="BV60" s="25"/>
      <c r="BW60" s="112">
        <f>IF(OR(BT60="",BT61="",AND(BU60="",BU61&lt;&gt;""),AND(BU61="",BU60&lt;&gt;""),AND(BV60="",BV61&lt;&gt;""),AND(BV61="",BV60&lt;&gt;"")),"",BT60*1000+BU60*10+BV60)</f>
        <v>0</v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4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Curaçao_win</v>
      </c>
      <c r="T61" s="127" t="str">
        <f t="shared" si="20"/>
        <v>Ivory Coast_lose</v>
      </c>
      <c r="U61" s="123">
        <f t="shared" si="8"/>
        <v>1</v>
      </c>
      <c r="V61" s="123">
        <f t="shared" si="21"/>
        <v>4</v>
      </c>
      <c r="W61" s="123">
        <f t="shared" si="22"/>
        <v>2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>Australia</v>
      </c>
      <c r="BT61" s="62">
        <v>1</v>
      </c>
      <c r="BU61" s="64"/>
      <c r="BV61" s="27"/>
      <c r="BW61" s="113">
        <f>IF(BW60="","",BT61*1000+BU61*10+BV61)</f>
        <v>1000</v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1</v>
      </c>
      <c r="G62" s="20">
        <v>3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Ecuador_lose</v>
      </c>
      <c r="T62" s="127" t="str">
        <f t="shared" si="20"/>
        <v>Germany_win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-1</v>
      </c>
      <c r="AD62" s="123">
        <f>COUNTIF(AR62:AR65,CONCATENATE("&gt;=",AR62))</f>
        <v>4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2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8</v>
      </c>
      <c r="AL62" s="123">
        <f>AI62-AJ62</f>
        <v>-3</v>
      </c>
      <c r="AM62" s="123">
        <f>AL62-AL66</f>
        <v>0</v>
      </c>
      <c r="AN62" s="123">
        <f>AF62*3+AG62</f>
        <v>3</v>
      </c>
      <c r="AO62" s="123">
        <f>AN62/AN66*10+BA62</f>
        <v>4.2863678804855274</v>
      </c>
      <c r="AP62" s="123">
        <f>AO62*10000000+BI62*100+AM62/AM66*10+AI62/AI66*1++IF(AQ62=0,ROW(),AQ62)/2000000</f>
        <v>42863679.361348234</v>
      </c>
      <c r="AQ62" s="126">
        <f>VLOOKUP(AE62,db_fifarank,2,FALSE)</f>
        <v>1874.82</v>
      </c>
      <c r="AR62" s="125">
        <f>AP62/AP66</f>
        <v>0.44813545075329086</v>
      </c>
      <c r="AS62" s="125" t="str">
        <f>IF(SUM(AF62:AH65)=12,J63,"1J")</f>
        <v>Algeria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1</v>
      </c>
      <c r="AW62" s="126" cm="1">
        <f t="array" ref="AW62">SUMPRODUCT(($E$7:$E$78=AE62)*($U$7:$U$78)*($G$7:$G$78))+SUMPRODUCT(($H$7:$H$78=AE62)*($U$7:$U$78)*($F$7:$F$78))</f>
        <v>3</v>
      </c>
      <c r="AX62" s="126">
        <f>AV62-AW62</f>
        <v>-2</v>
      </c>
      <c r="AY62" s="126">
        <f>AX62-MIN(AX62:AX65)</f>
        <v>0</v>
      </c>
      <c r="AZ62" s="126">
        <f>AT62/AT66*1000+AU62/AU66*100+AY62/AY66*10+AV62/AV66</f>
        <v>0.33333333333333331</v>
      </c>
      <c r="BA62" s="126">
        <f>AZ62/AZ66</f>
        <v>6.5359477124183002E-4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Australia</v>
      </c>
      <c r="BM62" s="61">
        <v>1</v>
      </c>
      <c r="BN62" s="63"/>
      <c r="BO62" s="25"/>
      <c r="BP62" s="116">
        <f>IF(OR(BM62="",BM63="",AND(BN62="",BN63&lt;&gt;""),AND(BN63="",BN62&lt;&gt;""),AND(BO62="",BO63&lt;&gt;""),AND(BO63="",BO62&lt;&gt;"")),"",BM62*1000+BN62*10+BO62)</f>
        <v>1000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4</v>
      </c>
      <c r="H63" s="80" t="str">
        <f>AE40</f>
        <v>Sweden</v>
      </c>
      <c r="I63" s="69"/>
      <c r="J63" s="30" t="str">
        <f>VLOOKUP(1,AD62:AN65,2,FALSE)</f>
        <v>Algeria</v>
      </c>
      <c r="K63" s="31">
        <f>L63+M63+N63</f>
        <v>3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1</v>
      </c>
      <c r="O63" s="31" t="str">
        <f>VLOOKUP(1,AD62:AN65,6,FALSE) &amp; " - " &amp; VLOOKUP(1,AD62:AN65,7,FALSE)</f>
        <v>8 - 5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>Japan_lose</v>
      </c>
      <c r="T63" s="127" t="str">
        <f t="shared" si="20"/>
        <v>Sweden_win</v>
      </c>
      <c r="U63" s="123">
        <f t="shared" si="8"/>
        <v>1</v>
      </c>
      <c r="V63" s="123">
        <f t="shared" si="21"/>
        <v>1</v>
      </c>
      <c r="W63" s="123">
        <f t="shared" si="22"/>
        <v>4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-1</v>
      </c>
      <c r="AD63" s="123">
        <f>COUNTIF(AR62:AR65,CONCATENATE("&gt;=",AR63))</f>
        <v>1</v>
      </c>
      <c r="AE63" s="124" t="str">
        <f>VLOOKUP("Algeria",T,lang,FALSE)</f>
        <v>Algeria</v>
      </c>
      <c r="AF63" s="123">
        <f>COUNTIF($S$7:$T$78,"=" &amp; AE63 &amp; "_win")</f>
        <v>2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8</v>
      </c>
      <c r="AJ63" s="123">
        <f>SUMIF($E$7:$E$78,$AE63,$G$7:$G$78) + SUMIF($H$7:$H$78,$AE63,$F$7:$F$78)</f>
        <v>5</v>
      </c>
      <c r="AL63" s="123">
        <f>AI63-AJ63</f>
        <v>3</v>
      </c>
      <c r="AM63" s="123">
        <f>AL63-AL66</f>
        <v>6</v>
      </c>
      <c r="AN63" s="123">
        <f>AF63*3+AG63</f>
        <v>6</v>
      </c>
      <c r="AO63" s="123">
        <f>AN63/AN66*10+BA63</f>
        <v>9.5648926237161529</v>
      </c>
      <c r="AP63" s="123">
        <f>AO63*10000000+BI63*100+AM63/AM66*10+AI63/AI66*1++IF(AQ63=0,ROW(),AQ63)/2000000</f>
        <v>95648935.698261127</v>
      </c>
      <c r="AQ63" s="126">
        <f>VLOOKUP(AE63,db_fifarank,2,FALSE)</f>
        <v>1564.26</v>
      </c>
      <c r="AR63" s="125">
        <f>AP63/AP66</f>
        <v>0.99999998954510072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1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2</v>
      </c>
      <c r="AW63" s="126" cm="1">
        <f t="array" ref="AW63">SUMPRODUCT(($E$7:$E$78=AE63)*($U$7:$U$78)*($G$7:$G$78))+SUMPRODUCT(($H$7:$H$78=AE63)*($U$7:$U$78)*($F$7:$F$78))</f>
        <v>1</v>
      </c>
      <c r="AX63" s="126">
        <f>AV63-AW63</f>
        <v>1</v>
      </c>
      <c r="AY63" s="126">
        <f>AX63-MIN(AX62:AX65)</f>
        <v>3</v>
      </c>
      <c r="AZ63" s="126">
        <f>AT63/AT66*1000+AU63/AU66*100+AY63/AY66*10+AV63/AV66</f>
        <v>506.66666666666669</v>
      </c>
      <c r="BA63" s="126">
        <f>AZ63/AZ66</f>
        <v>0.99346405228758172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New Zealand</v>
      </c>
      <c r="BM63" s="62">
        <v>0</v>
      </c>
      <c r="BN63" s="64"/>
      <c r="BO63" s="27"/>
      <c r="BP63" s="112">
        <f>IF(BP62="","",BM63*1000+BN63*10+BO63)</f>
        <v>0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3</v>
      </c>
      <c r="G64" s="20">
        <v>1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2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8 - 5</v>
      </c>
      <c r="P64" s="34">
        <f>L64*3+M64</f>
        <v>6</v>
      </c>
      <c r="R64" s="123">
        <f>DATE(2026,6,25)+TIME(12,0,0)+gmt_delta</f>
        <v>46198.958333333336</v>
      </c>
      <c r="S64" s="127" t="str">
        <f t="shared" si="19"/>
        <v>Tunisia_win</v>
      </c>
      <c r="T64" s="127" t="str">
        <f t="shared" si="20"/>
        <v>Netherlands_lose</v>
      </c>
      <c r="U64" s="123">
        <f t="shared" si="8"/>
        <v>1</v>
      </c>
      <c r="V64" s="123">
        <f t="shared" si="21"/>
        <v>3</v>
      </c>
      <c r="W64" s="123">
        <f t="shared" si="22"/>
        <v>1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2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8</v>
      </c>
      <c r="AJ64" s="123">
        <f>SUMIF($E$7:$E$78,$AE64,$G$7:$G$78) + SUMIF($H$7:$H$78,$AE64,$F$7:$F$78)</f>
        <v>5</v>
      </c>
      <c r="AL64" s="123">
        <f>AI64-AJ64</f>
        <v>3</v>
      </c>
      <c r="AM64" s="123">
        <f>AL64-AL66</f>
        <v>6</v>
      </c>
      <c r="AN64" s="123">
        <f>AF64*3+AG64</f>
        <v>6</v>
      </c>
      <c r="AO64" s="123">
        <f>AN64/AN66*10+BA64</f>
        <v>8.576003734827264</v>
      </c>
      <c r="AP64" s="123">
        <f>AO64*10000000+BI64*100+AM64/AM66*10+AI64/AI66*1++IF(AQ64=0,ROW(),AQ64)/2000000</f>
        <v>85760046.80938682</v>
      </c>
      <c r="AQ64" s="126">
        <f>VLOOKUP(AE64,db_fifarank,2,FALSE)</f>
        <v>1593.45</v>
      </c>
      <c r="AR64" s="125">
        <f>AP64/AP66</f>
        <v>0.89661265216078367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1</v>
      </c>
      <c r="AW64" s="126" cm="1">
        <f t="array" ref="AW64">SUMPRODUCT(($E$7:$E$78=AE64)*($U$7:$U$78)*($G$7:$G$78))+SUMPRODUCT(($H$7:$H$78=AE64)*($U$7:$U$78)*($F$7:$F$78))</f>
        <v>2</v>
      </c>
      <c r="AX64" s="126">
        <f>AV64-AW64</f>
        <v>-1</v>
      </c>
      <c r="AY64" s="126">
        <f>AX64-MIN(AX62:AX65)</f>
        <v>1</v>
      </c>
      <c r="AZ64" s="126">
        <f>AT64/AT66*1000+AU64/AU66*100+AY64/AY66*10+AV64/AV66</f>
        <v>2.3333333333333335</v>
      </c>
      <c r="BA64" s="126">
        <f>AZ64/AZ66</f>
        <v>4.5751633986928107E-3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>Australia</v>
      </c>
      <c r="CA64" s="61">
        <v>0</v>
      </c>
      <c r="CB64" s="63"/>
      <c r="CC64" s="25"/>
      <c r="CD64" s="116">
        <f>IF(OR(CA64="",CA65="",AND(CB64="",CB65&lt;&gt;""),AND(CB65="",CB64&lt;&gt;""),AND(CC64="",CC65&lt;&gt;""),AND(CC65="",CC64&lt;&gt;"")),"",CA64*1000+CB64*10+CC64)</f>
        <v>0</v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4</v>
      </c>
      <c r="G65" s="20">
        <v>2</v>
      </c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3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2</v>
      </c>
      <c r="O65" s="23" t="str">
        <f>VLOOKUP(3,AD62:AN65,6,FALSE) &amp; " - " &amp; VLOOKUP(3,AD62:AN65,7,FALSE)</f>
        <v>6 - 9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1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6</v>
      </c>
      <c r="AJ65" s="123">
        <f>SUMIF($E$7:$E$78,$AE65,$G$7:$G$78) + SUMIF($H$7:$H$78,$AE65,$F$7:$F$78)</f>
        <v>9</v>
      </c>
      <c r="AL65" s="123">
        <f>AI65-AJ65</f>
        <v>-3</v>
      </c>
      <c r="AM65" s="123">
        <f>AL65-AL66</f>
        <v>0</v>
      </c>
      <c r="AN65" s="123">
        <f>AF65*3+AG65</f>
        <v>3</v>
      </c>
      <c r="AO65" s="123">
        <f>AN65/AN66*10+BA65</f>
        <v>5.2837535014005601</v>
      </c>
      <c r="AP65" s="123">
        <f>AO65*10000000+BI65*100+AM65/AM66*10+AI65/AI66*1++IF(AQ65=0,ROW(),AQ65)/2000000</f>
        <v>52837535.681367993</v>
      </c>
      <c r="AQ65" s="126">
        <f>VLOOKUP(AE65,db_fifarank,2,FALSE)</f>
        <v>1391.45</v>
      </c>
      <c r="AR65" s="125">
        <f>AP65/AP66</f>
        <v>0.55241111407282972</v>
      </c>
      <c r="AT65" s="126" cm="1">
        <f t="array" ref="AT65">SUMPRODUCT(($S$7:$S$78=AE65&amp;"_win")*($U$7:$U$78))+SUMPRODUCT(($T$7:$T$78=AE65&amp;"_win")*($U$7:$U$78))</f>
        <v>1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3</v>
      </c>
      <c r="AW65" s="126" cm="1">
        <f t="array" ref="AW65">SUMPRODUCT(($E$7:$E$78=AE65)*($U$7:$U$78)*($G$7:$G$78))+SUMPRODUCT(($H$7:$H$78=AE65)*($U$7:$U$78)*($F$7:$F$78))</f>
        <v>1</v>
      </c>
      <c r="AX65" s="126">
        <f>AV65-AW65</f>
        <v>2</v>
      </c>
      <c r="AY65" s="126">
        <f>AX65-MIN(AX62:AX65)</f>
        <v>4</v>
      </c>
      <c r="AZ65" s="126">
        <f>AT65/AT66*1000+AU65/AU66*100+AY65/AY66*10+AV65/AV66</f>
        <v>509</v>
      </c>
      <c r="BA65" s="126">
        <f>AZ65/AZ66</f>
        <v>0.99803921568627452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>Portugal</v>
      </c>
      <c r="CA65" s="62">
        <v>1</v>
      </c>
      <c r="CB65" s="64"/>
      <c r="CC65" s="27"/>
      <c r="CD65" s="112">
        <f>IF(CD64="","",CA65*1000+CB65*10+CC65)</f>
        <v>1000</v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1</v>
      </c>
      <c r="G66" s="20">
        <v>3</v>
      </c>
      <c r="H66" s="80" t="str">
        <f>AE28</f>
        <v>Australia</v>
      </c>
      <c r="I66" s="69"/>
      <c r="J66" s="35" t="str">
        <f>VLOOKUP(4,AD62:AN65,2,FALSE)</f>
        <v>Argentina</v>
      </c>
      <c r="K66" s="36">
        <f>L66+M66+N66</f>
        <v>3</v>
      </c>
      <c r="L66" s="36">
        <f>VLOOKUP(4,AD62:AN65,3,FALSE)</f>
        <v>1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5 - 8</v>
      </c>
      <c r="P66" s="37">
        <f>L66*3+M66</f>
        <v>3</v>
      </c>
      <c r="R66" s="123">
        <f>DATE(2026,6,25)+TIME(15,0,0)+gmt_delta</f>
        <v>46199.083333333336</v>
      </c>
      <c r="S66" s="127" t="str">
        <f t="shared" si="19"/>
        <v>Paraguay_lose</v>
      </c>
      <c r="T66" s="127" t="str">
        <f t="shared" si="20"/>
        <v>Australia_win</v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-1</v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9</v>
      </c>
      <c r="AL66" s="123">
        <f>MIN(AL62:AL65)</f>
        <v>-3</v>
      </c>
      <c r="AM66" s="123">
        <f>MAX(AM62:AM65)+1</f>
        <v>7</v>
      </c>
      <c r="AN66" s="123">
        <f>MAX(AN62:AN65)+1</f>
        <v>7</v>
      </c>
      <c r="AO66" s="123">
        <f>MAX(AO62:AO65)+1</f>
        <v>10.564892623716153</v>
      </c>
      <c r="AP66" s="123">
        <f>MAX(AP62:AP65)+1</f>
        <v>95648936.698261127</v>
      </c>
      <c r="AT66" s="126">
        <f>MAX(AT62:AT65)-MIN(AT62:AT65)+1</f>
        <v>2</v>
      </c>
      <c r="AU66" s="126">
        <f>MAX(AU62:AU65)-MIN(AU62:AU65)+1</f>
        <v>1</v>
      </c>
      <c r="AV66" s="126">
        <f>MAX(AV62:AV65)-MIN(AV62:AV65)+1</f>
        <v>3</v>
      </c>
      <c r="AW66" s="126">
        <f>MAX(AW62:AW65)-MIN(AW62:AW65)+1</f>
        <v>3</v>
      </c>
      <c r="AY66" s="126">
        <f>MAX(AY62:AY65)-MIN(AY62:AY65)+1</f>
        <v>5</v>
      </c>
      <c r="AZ66" s="126">
        <f>MAX(AZ62:AZ65)+1</f>
        <v>510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Qatar</v>
      </c>
      <c r="BM66" s="61">
        <v>0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0</v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3</v>
      </c>
      <c r="G67" s="20">
        <v>1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Norway_win</v>
      </c>
      <c r="T67" s="127" t="str">
        <f t="shared" si="20"/>
        <v>France_lose</v>
      </c>
      <c r="U67" s="123">
        <f t="shared" si="8"/>
        <v>1</v>
      </c>
      <c r="V67" s="123">
        <f t="shared" si="21"/>
        <v>3</v>
      </c>
      <c r="W67" s="123">
        <f t="shared" si="22"/>
        <v>1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1</v>
      </c>
      <c r="BK67" s="142"/>
      <c r="BL67" s="26" t="str">
        <f>IF(group_round_completed,VLOOKUP('3rd places'!E3,AK80:AS91,9,FALSE),"3rd Group E/F/G/I/J")</f>
        <v>Sweden</v>
      </c>
      <c r="BM67" s="62">
        <v>1</v>
      </c>
      <c r="BN67" s="64"/>
      <c r="BO67" s="27"/>
      <c r="BP67" s="113">
        <f>IF(BP66="","",BM67*1000+BN67*10+BO67)</f>
        <v>1000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4</v>
      </c>
      <c r="G68" s="20">
        <v>2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1</v>
      </c>
      <c r="V68" s="123">
        <f t="shared" si="21"/>
        <v>4</v>
      </c>
      <c r="W68" s="123">
        <f t="shared" si="22"/>
        <v>2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2</v>
      </c>
      <c r="AG68" s="123">
        <f>COUNTIF($S$7:$T$78,"=" &amp; AE68 &amp; "_draw")</f>
        <v>0</v>
      </c>
      <c r="AH68" s="123">
        <f>COUNTIF($S$7:$T$78,"=" &amp; AE68 &amp; "_lose")</f>
        <v>1</v>
      </c>
      <c r="AI68" s="123">
        <f>SUMIF($E$7:$E$78,$AE68,$F$7:$F$78) + SUMIF($H$7:$H$78,$AE68,$G$7:$G$78)</f>
        <v>8</v>
      </c>
      <c r="AJ68" s="123">
        <f>SUMIF($E$7:$E$78,$AE68,$G$7:$G$78) + SUMIF($H$7:$H$78,$AE68,$F$7:$F$78)</f>
        <v>6</v>
      </c>
      <c r="AL68" s="123">
        <f>AI68-AJ68</f>
        <v>2</v>
      </c>
      <c r="AM68" s="123">
        <f>AL68-AL72</f>
        <v>5</v>
      </c>
      <c r="AN68" s="123">
        <f>AF68*3+AG68</f>
        <v>6</v>
      </c>
      <c r="AO68" s="123">
        <f>AN68/AN72*10+BA68</f>
        <v>8.5714285714285712</v>
      </c>
      <c r="AP68" s="123">
        <f>AO68*10000000+BI68*100+AM68/AM72*10+AI68/AI72*1++IF(AQ68=0,ROW(),AQ68)/2000000</f>
        <v>85714294.937389851</v>
      </c>
      <c r="AQ68" s="126">
        <f>VLOOKUP(AE68,db_fifarank,2,FALSE)</f>
        <v>1763.83</v>
      </c>
      <c r="AR68" s="125">
        <f>AP68/AP72</f>
        <v>0.9999999883333347</v>
      </c>
      <c r="AS68" s="125" t="str">
        <f>IF(SUM(AF68:AH71)=12,J69,"1K")</f>
        <v>Portugal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>Sweden</v>
      </c>
      <c r="BT68" s="61">
        <v>0</v>
      </c>
      <c r="BU68" s="63"/>
      <c r="BV68" s="25"/>
      <c r="BW68" s="116">
        <f>IF(OR(BT68="",BT69="",AND(BU68="",BU69&lt;&gt;""),AND(BU69="",BU68&lt;&gt;""),AND(BV68="",BV69&lt;&gt;""),AND(BV69="",BV68&lt;&gt;"")),"",BT68*1000+BU68*10+BV68)</f>
        <v>0</v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>Spain</v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3</v>
      </c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3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1</v>
      </c>
      <c r="O69" s="31" t="str">
        <f>VLOOKUP(1,AD68:AN71,6,FALSE) &amp; " - " &amp; VLOOKUP(1,AD68:AN71,7,FALSE)</f>
        <v>8 - 6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>Egypt_lose</v>
      </c>
      <c r="T69" s="127" t="str">
        <f t="shared" si="20"/>
        <v>Iran_win</v>
      </c>
      <c r="U69" s="123">
        <f t="shared" si="8"/>
        <v>1</v>
      </c>
      <c r="V69" s="123">
        <f t="shared" si="21"/>
        <v>1</v>
      </c>
      <c r="W69" s="123">
        <f t="shared" si="22"/>
        <v>3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-1</v>
      </c>
      <c r="AD69" s="123">
        <f>COUNTIF(AR68:AR71,CONCATENATE("&gt;=",AR69))</f>
        <v>2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6</v>
      </c>
      <c r="AJ69" s="123">
        <f>SUMIF($E$7:$E$78,$AE69,$G$7:$G$78) + SUMIF($H$7:$H$78,$AE69,$F$7:$F$78)</f>
        <v>5</v>
      </c>
      <c r="AL69" s="123">
        <f>AI69-AJ69</f>
        <v>1</v>
      </c>
      <c r="AM69" s="123">
        <f>AL69-AL72</f>
        <v>4</v>
      </c>
      <c r="AN69" s="123">
        <f>AF69*3+AG69</f>
        <v>4</v>
      </c>
      <c r="AO69" s="123">
        <f>AN69/AN72*10+BA69</f>
        <v>6.6949308755760359</v>
      </c>
      <c r="AP69" s="123">
        <f>AO69*10000000+BI69*100+AM69/AM72*10+AI69/AI72*1++IF(AQ69=0,ROW(),AQ69)/2000000</f>
        <v>66949414.154348984</v>
      </c>
      <c r="AQ69" s="126">
        <f>VLOOKUP(AE69,db_fifarank,2,FALSE)</f>
        <v>1478.35</v>
      </c>
      <c r="AR69" s="125">
        <f>AP69/AP72</f>
        <v>0.78107640530877476</v>
      </c>
      <c r="AS69" s="125" t="str">
        <f>IF(SUM(AF68:AH71)=12,J70,"2K")</f>
        <v>DR Congo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2</v>
      </c>
      <c r="AW69" s="126" cm="1">
        <f t="array" ref="AW69">SUMPRODUCT(($E$7:$E$78=AE69)*($U$7:$U$78)*($G$7:$G$78))+SUMPRODUCT(($H$7:$H$78=AE69)*($U$7:$U$78)*($F$7:$F$78))</f>
        <v>2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50.666666666666664</v>
      </c>
      <c r="BA69" s="126">
        <f>AZ69/AZ72</f>
        <v>0.98064516129032253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2</v>
      </c>
      <c r="BE69" s="126" cm="1">
        <f t="array" ref="BE69">SUMPRODUCT(($E$7:$E$78=AE69)*($X$7:$X$78)*($G$7:$G$78))+SUMPRODUCT(($H$7:$H$78=AE69)*($X$7:$X$78)*($F$7:$F$78))</f>
        <v>2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50.666666666666664</v>
      </c>
      <c r="BI69" s="126">
        <f>BH69/BH72</f>
        <v>0.98064516129032253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>Portugal</v>
      </c>
      <c r="BT69" s="62">
        <v>1</v>
      </c>
      <c r="BU69" s="64"/>
      <c r="BV69" s="27"/>
      <c r="BW69" s="112">
        <f>IF(BW68="","",BT69*1000+BU69*10+BV69)</f>
        <v>1000</v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4</v>
      </c>
      <c r="H70" s="80" t="str">
        <f>AE44</f>
        <v>Belgium</v>
      </c>
      <c r="I70" s="69"/>
      <c r="J70" s="33" t="str">
        <f>VLOOKUP(2,AD68:AN71,2,FALSE)</f>
        <v>DR Congo</v>
      </c>
      <c r="K70" s="23">
        <f>L70+M70+N70</f>
        <v>3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1</v>
      </c>
      <c r="O70" s="23" t="str">
        <f>VLOOKUP(2,AD68:AN71,6,FALSE) &amp; " - " &amp; VLOOKUP(2,AD68:AN71,7,FALSE)</f>
        <v>6 - 5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1</v>
      </c>
      <c r="V70" s="123">
        <f t="shared" si="21"/>
        <v>1</v>
      </c>
      <c r="W70" s="123">
        <f t="shared" si="22"/>
        <v>4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3</v>
      </c>
      <c r="AE70" s="124" t="str">
        <f>VLOOKUP("Uzbekistan",T,lang,FALSE)</f>
        <v>Uzbekistan</v>
      </c>
      <c r="AF70" s="123">
        <f>COUNTIF($S$7:$T$78,"=" &amp; AE70 &amp; "_win")</f>
        <v>1</v>
      </c>
      <c r="AG70" s="123">
        <f>COUNTIF($S$7:$T$78,"=" &amp; AE70 &amp; "_draw")</f>
        <v>1</v>
      </c>
      <c r="AH70" s="123">
        <f>COUNTIF($S$7:$T$78,"=" &amp; AE70 &amp; "_lose")</f>
        <v>1</v>
      </c>
      <c r="AI70" s="123">
        <f>SUMIF($E$7:$E$78,$AE70,$F$7:$F$78) + SUMIF($H$7:$H$78,$AE70,$G$7:$G$78)</f>
        <v>7</v>
      </c>
      <c r="AJ70" s="123">
        <f>SUMIF($E$7:$E$78,$AE70,$G$7:$G$78) + SUMIF($H$7:$H$78,$AE70,$F$7:$F$78)</f>
        <v>7</v>
      </c>
      <c r="AL70" s="123">
        <f>AI70-AJ70</f>
        <v>0</v>
      </c>
      <c r="AM70" s="123">
        <f>AL70-AL72</f>
        <v>3</v>
      </c>
      <c r="AN70" s="123">
        <f>AF70*3+AG70</f>
        <v>4</v>
      </c>
      <c r="AO70" s="123">
        <f>AN70/AN72*10+BA70</f>
        <v>6.6949308755760359</v>
      </c>
      <c r="AP70" s="123">
        <f>AO70*10000000+BI70*100+AM70/AM72*10+AI70/AI72*1++IF(AQ70=0,ROW(),AQ70)/2000000</f>
        <v>66949412.598786928</v>
      </c>
      <c r="AQ70" s="126">
        <f>VLOOKUP(AE70,db_fifarank,2,FALSE)</f>
        <v>1465.34</v>
      </c>
      <c r="AR70" s="125">
        <f>AP70/AP72</f>
        <v>0.78107638716055294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1</v>
      </c>
      <c r="AV70" s="126" cm="1">
        <f t="array" ref="AV70">SUMPRODUCT(($E$7:$E$78=AE70)*($U$7:$U$78)*($F$7:$F$78))+SUMPRODUCT(($H$7:$H$78=AE70)*($U$7:$U$78)*($G$7:$G$78))</f>
        <v>2</v>
      </c>
      <c r="AW70" s="126" cm="1">
        <f t="array" ref="AW70">SUMPRODUCT(($E$7:$E$78=AE70)*($U$7:$U$78)*($G$7:$G$78))+SUMPRODUCT(($H$7:$H$78=AE70)*($U$7:$U$78)*($F$7:$F$78))</f>
        <v>2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50.666666666666664</v>
      </c>
      <c r="BA70" s="126">
        <f>AZ70/AZ72</f>
        <v>0.98064516129032253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1</v>
      </c>
      <c r="BD70" s="126" cm="1">
        <f t="array" ref="BD70">SUMPRODUCT(($E$7:$E$78=AE70)*($X$7:$X$78)*($F$7:$F$78))+SUMPRODUCT(($H$7:$H$78=AE70)*($X$7:$X$78)*($G$7:$G$78))</f>
        <v>2</v>
      </c>
      <c r="BE70" s="126" cm="1">
        <f t="array" ref="BE70">SUMPRODUCT(($E$7:$E$78=AE70)*($X$7:$X$78)*($G$7:$G$78))+SUMPRODUCT(($H$7:$H$78=AE70)*($X$7:$X$78)*($F$7:$F$78))</f>
        <v>2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50.666666666666664</v>
      </c>
      <c r="BI70" s="126">
        <f>BH70/BH72</f>
        <v>0.98064516129032253</v>
      </c>
      <c r="BK70" s="141">
        <v>87</v>
      </c>
      <c r="BL70" s="24" t="str">
        <f>AS68</f>
        <v>Portugal</v>
      </c>
      <c r="BM70" s="61">
        <v>1</v>
      </c>
      <c r="BN70" s="63"/>
      <c r="BO70" s="25"/>
      <c r="BP70" s="116">
        <f>IF(OR(BM70="",BM71="",AND(BN70="",BN71&lt;&gt;""),AND(BN71="",BN70&lt;&gt;""),AND(BO70="",BO71&lt;&gt;""),AND(BO71="",BO70&lt;&gt;"")),"",BM70*1000+BN70*10+BO70)</f>
        <v>1000</v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3</v>
      </c>
      <c r="G71" s="20">
        <v>1</v>
      </c>
      <c r="H71" s="80" t="str">
        <f>AE52</f>
        <v>Saudi Arabia</v>
      </c>
      <c r="I71" s="69"/>
      <c r="J71" s="33" t="str">
        <f>VLOOKUP(3,AD68:AN71,2,FALSE)</f>
        <v>Uzbekistan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7 - 7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Verde_win</v>
      </c>
      <c r="T71" s="127" t="str">
        <f t="shared" si="20"/>
        <v>Saudi Arabia_lose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1</v>
      </c>
      <c r="AD71" s="123">
        <f>COUNTIF(AR68:AR71,CONCATENATE("&gt;=",AR71))</f>
        <v>4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2</v>
      </c>
      <c r="AI71" s="123">
        <f>SUMIF($E$7:$E$78,$AE71,$F$7:$F$78) + SUMIF($H$7:$H$78,$AE71,$G$7:$G$78)</f>
        <v>5</v>
      </c>
      <c r="AJ71" s="123">
        <f>SUMIF($E$7:$E$78,$AE71,$G$7:$G$78) + SUMIF($H$7:$H$78,$AE71,$F$7:$F$78)</f>
        <v>8</v>
      </c>
      <c r="AL71" s="123">
        <f>AI71-AJ71</f>
        <v>-3</v>
      </c>
      <c r="AM71" s="123">
        <f>AL71-AL72</f>
        <v>0</v>
      </c>
      <c r="AN71" s="123">
        <f>AF71*3+AG71</f>
        <v>3</v>
      </c>
      <c r="AO71" s="123">
        <f>AN71/AN72*10+BA71</f>
        <v>4.2857142857142856</v>
      </c>
      <c r="AP71" s="123">
        <f>AO71*10000000+BI71*100+AM71/AM72*10+AI71/AI72*1++IF(AQ71=0,ROW(),AQ71)/2000000</f>
        <v>42857143.413544953</v>
      </c>
      <c r="AQ71" s="126">
        <f>VLOOKUP(AE71,db_fifarank,2,FALSE)</f>
        <v>1693.09</v>
      </c>
      <c r="AR71" s="125">
        <f>AP71/AP72</f>
        <v>0.49999994685658999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Ghana</v>
      </c>
      <c r="BM71" s="62">
        <v>0</v>
      </c>
      <c r="BN71" s="64"/>
      <c r="BO71" s="27"/>
      <c r="BP71" s="112">
        <f>IF(BP70="","",BM71*1000+BN71*10+BO71)</f>
        <v>0</v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4</v>
      </c>
      <c r="G72" s="20">
        <v>2</v>
      </c>
      <c r="H72" s="80" t="str">
        <f>AE50</f>
        <v>Spain</v>
      </c>
      <c r="I72" s="69"/>
      <c r="J72" s="35" t="str">
        <f>VLOOKUP(4,AD68:AN71,2,FALSE)</f>
        <v>Colombia</v>
      </c>
      <c r="K72" s="36">
        <f>L72+M72+N72</f>
        <v>3</v>
      </c>
      <c r="L72" s="36">
        <f>VLOOKUP(4,AD68:AN71,3,FALSE)</f>
        <v>1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5 - 8</v>
      </c>
      <c r="P72" s="37">
        <f>L72*3+M72</f>
        <v>3</v>
      </c>
      <c r="R72" s="123">
        <f>DATE(2026,6,26)+TIME(13,0,0)+gmt_delta</f>
        <v>46200</v>
      </c>
      <c r="S72" s="127" t="str">
        <f t="shared" si="19"/>
        <v>Uruguay_win</v>
      </c>
      <c r="T72" s="127" t="str">
        <f t="shared" si="20"/>
        <v>Spain_lose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1</v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9</v>
      </c>
      <c r="AL72" s="123">
        <f>MIN(AL68:AL71)</f>
        <v>-3</v>
      </c>
      <c r="AM72" s="123">
        <f>MAX(AM68:AM71)+1</f>
        <v>6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85714295.937389851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3</v>
      </c>
      <c r="AW72" s="126">
        <f>MAX(AW68:AW71)-MIN(AW68:AW71)+1</f>
        <v>3</v>
      </c>
      <c r="AY72" s="126">
        <f>MAX(AY68:AY71)-MIN(AY68:AY71)+1</f>
        <v>1</v>
      </c>
      <c r="AZ72" s="126">
        <f>MAX(AZ68:AZ71)+1</f>
        <v>51.666666666666664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3</v>
      </c>
      <c r="BE72" s="126">
        <f>MAX(BE68:BE71)-MIN(BE68:BE71)+1</f>
        <v>3</v>
      </c>
      <c r="BG72" s="126">
        <f>MAX(BG68:BG71)-MIN(BG68:BG71)+1</f>
        <v>1</v>
      </c>
      <c r="BH72" s="126">
        <f>MAX(BH68:BH71)+1</f>
        <v>51.666666666666664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1</v>
      </c>
      <c r="G73" s="20">
        <v>3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1</v>
      </c>
      <c r="V73" s="123">
        <f t="shared" si="21"/>
        <v>1</v>
      </c>
      <c r="W73" s="123">
        <f t="shared" si="22"/>
        <v>3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1</v>
      </c>
      <c r="G74" s="20">
        <v>4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Croatia_lose</v>
      </c>
      <c r="T74" s="127" t="str">
        <f t="shared" si="20"/>
        <v>Ghana_win</v>
      </c>
      <c r="U74" s="123">
        <f t="shared" si="31"/>
        <v>1</v>
      </c>
      <c r="V74" s="123">
        <f t="shared" si="21"/>
        <v>1</v>
      </c>
      <c r="W74" s="123">
        <f t="shared" si="22"/>
        <v>4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-1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0</v>
      </c>
      <c r="AH74" s="123">
        <f>COUNTIF($S$7:$T$78,"=" &amp; AE74 &amp; "_lose")</f>
        <v>1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6</v>
      </c>
      <c r="AL74" s="123">
        <f>AI74-AJ74</f>
        <v>0</v>
      </c>
      <c r="AM74" s="123">
        <f>AL74-AL78</f>
        <v>2</v>
      </c>
      <c r="AN74" s="123">
        <f>AF74*3+AG74</f>
        <v>6</v>
      </c>
      <c r="AO74" s="123">
        <f>AN74/AN78*10+BA74</f>
        <v>9.5661823487089297</v>
      </c>
      <c r="AP74" s="123">
        <f>AO74*10000000+BI74*100+AM74/AM78*10+AI74/AI78*1++IF(AQ74=0,ROW(),AQ74)/2000000</f>
        <v>95661828.23800227</v>
      </c>
      <c r="AQ74" s="126">
        <f>VLOOKUP(AE74,db_fifarank,2,FALSE)</f>
        <v>1825.97</v>
      </c>
      <c r="AR74" s="125">
        <f>AP74/AP78</f>
        <v>0.9999999895465097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1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3</v>
      </c>
      <c r="AW74" s="126" cm="1">
        <f t="array" ref="AW74">SUMPRODUCT(($E$7:$E$78=AE74)*($U$7:$U$78)*($G$7:$G$78))+SUMPRODUCT(($H$7:$H$78=AE74)*($U$7:$U$78)*($F$7:$F$78))</f>
        <v>1</v>
      </c>
      <c r="AX74" s="126">
        <f>AV74-AW74</f>
        <v>2</v>
      </c>
      <c r="AY74" s="126">
        <f>AX74-MIN(AX74:AX77)</f>
        <v>5</v>
      </c>
      <c r="AZ74" s="126">
        <f>AT74/AT78*1000+AU74/AU78*100+AY74/AY78*10+AV74/AV78</f>
        <v>507.89285714285717</v>
      </c>
      <c r="BA74" s="126">
        <f>AZ74/AZ78</f>
        <v>0.99475377728035819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2</v>
      </c>
      <c r="G75" s="20">
        <v>1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0</v>
      </c>
      <c r="N75" s="31">
        <f>VLOOKUP(1,AD74:AN77,5,FALSE)</f>
        <v>1</v>
      </c>
      <c r="O75" s="31" t="str">
        <f>VLOOKUP(1,AD74:AN77,6,FALSE) &amp; " - " &amp; VLOOKUP(1,AD74:AN77,7,FALSE)</f>
        <v>6 - 6</v>
      </c>
      <c r="P75" s="32">
        <f>L75*3+M75</f>
        <v>6</v>
      </c>
      <c r="R75" s="123">
        <f>DATE(2026,6,27)+TIME(15,0,0)+gmt_delta</f>
        <v>46201.083333333336</v>
      </c>
      <c r="S75" s="127" t="str">
        <f t="shared" si="19"/>
        <v>Algeria_win</v>
      </c>
      <c r="T75" s="127" t="str">
        <f t="shared" si="20"/>
        <v>Austria_lose</v>
      </c>
      <c r="U75" s="123">
        <f t="shared" si="31"/>
        <v>1</v>
      </c>
      <c r="V75" s="123">
        <f t="shared" si="21"/>
        <v>2</v>
      </c>
      <c r="W75" s="123">
        <f t="shared" si="22"/>
        <v>1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>
        <f t="shared" si="23"/>
        <v>1</v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2</v>
      </c>
      <c r="AI75" s="123">
        <f>SUMIF($E$7:$E$78,$AE75,$F$7:$F$78) + SUMIF($H$7:$H$78,$AE75,$G$7:$G$78)</f>
        <v>6</v>
      </c>
      <c r="AJ75" s="123">
        <f>SUMIF($E$7:$E$78,$AE75,$G$7:$G$78) + SUMIF($H$7:$H$78,$AE75,$F$7:$F$78)</f>
        <v>8</v>
      </c>
      <c r="AL75" s="123">
        <f>AI75-AJ75</f>
        <v>-2</v>
      </c>
      <c r="AM75" s="123">
        <f>AL75-AL78</f>
        <v>0</v>
      </c>
      <c r="AN75" s="123">
        <f>AF75*3+AG75</f>
        <v>3</v>
      </c>
      <c r="AO75" s="123">
        <f>AN75/AN78*10+BA75</f>
        <v>4.2862039331681192</v>
      </c>
      <c r="AP75" s="123">
        <f>AO75*10000000+BI75*100+AM75/AM78*10+AI75/AI78*1++IF(AQ75=0,ROW(),AQ75)/2000000</f>
        <v>42862040.08253973</v>
      </c>
      <c r="AQ75" s="126">
        <f>VLOOKUP(AE75,db_fifarank,2,FALSE)</f>
        <v>1717.07</v>
      </c>
      <c r="AR75" s="125">
        <f>AP75/AP78</f>
        <v>0.44805791843997594</v>
      </c>
      <c r="AS75" s="125" t="str">
        <f>IF(SUM(AF74:AH77)=12,J76,"2L")</f>
        <v>Panama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1</v>
      </c>
      <c r="AW75" s="126" cm="1">
        <f t="array" ref="AW75">SUMPRODUCT(($E$7:$E$78=AE75)*($U$7:$U$78)*($G$7:$G$78))+SUMPRODUCT(($H$7:$H$78=AE75)*($U$7:$U$78)*($F$7:$F$78))</f>
        <v>4</v>
      </c>
      <c r="AX75" s="126">
        <f>AV75-AW75</f>
        <v>-3</v>
      </c>
      <c r="AY75" s="126">
        <f>AX75-MIN(AX74:AX77)</f>
        <v>0</v>
      </c>
      <c r="AZ75" s="126">
        <f>AT75/AT78*1000+AU75/AU78*100+AY75/AY78*10+AV75/AV78</f>
        <v>0.25</v>
      </c>
      <c r="BA75" s="126">
        <f>AZ75/AZ78</f>
        <v>4.8964745383324004E-4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3</v>
      </c>
      <c r="G76" s="20">
        <v>1</v>
      </c>
      <c r="H76" s="80" t="str">
        <f>AE62</f>
        <v>Argentina</v>
      </c>
      <c r="I76" s="69"/>
      <c r="J76" s="33" t="str">
        <f>VLOOKUP(2,AD74:AN77,2,FALSE)</f>
        <v>Panama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7 - 5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Jordan_win</v>
      </c>
      <c r="T76" s="127" t="str">
        <f t="shared" si="20"/>
        <v>Argentina_lose</v>
      </c>
      <c r="U76" s="123">
        <f t="shared" si="31"/>
        <v>1</v>
      </c>
      <c r="V76" s="123">
        <f t="shared" si="21"/>
        <v>3</v>
      </c>
      <c r="W76" s="123">
        <f t="shared" si="22"/>
        <v>1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2</v>
      </c>
      <c r="AI76" s="123">
        <f>SUMIF($E$7:$E$78,$AE76,$F$7:$F$78) + SUMIF($H$7:$H$78,$AE76,$G$7:$G$78)</f>
        <v>6</v>
      </c>
      <c r="AJ76" s="123">
        <f>SUMIF($E$7:$E$78,$AE76,$G$7:$G$78) + SUMIF($H$7:$H$78,$AE76,$F$7:$F$78)</f>
        <v>6</v>
      </c>
      <c r="AL76" s="123">
        <f>AI76-AJ76</f>
        <v>0</v>
      </c>
      <c r="AM76" s="123">
        <f>AL76-AL78</f>
        <v>2</v>
      </c>
      <c r="AN76" s="123">
        <f>AF76*3+AG76</f>
        <v>3</v>
      </c>
      <c r="AO76" s="123">
        <f>AN76/AN78*10+BA76</f>
        <v>5.2837556958989529</v>
      </c>
      <c r="AP76" s="123">
        <f>AO76*10000000+BI76*100+AM76/AM78*10+AI76/AI78*1++IF(AQ76=0,ROW(),AQ76)/2000000</f>
        <v>52837561.709662683</v>
      </c>
      <c r="AQ76" s="126">
        <f>VLOOKUP(AE76,db_fifarank,2,FALSE)</f>
        <v>1346.31</v>
      </c>
      <c r="AR76" s="125">
        <f>AP76/AP78</f>
        <v>0.55233693658737426</v>
      </c>
      <c r="AT76" s="126" cm="1">
        <f t="array" ref="AT76">SUMPRODUCT(($S$7:$S$78=AE76&amp;"_win")*($U$7:$U$78))+SUMPRODUCT(($T$7:$T$78=AE76&amp;"_win")*($U$7:$U$78))</f>
        <v>1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4</v>
      </c>
      <c r="AW76" s="126" cm="1">
        <f t="array" ref="AW76">SUMPRODUCT(($E$7:$E$78=AE76)*($U$7:$U$78)*($G$7:$G$78))+SUMPRODUCT(($H$7:$H$78=AE76)*($U$7:$U$78)*($F$7:$F$78))</f>
        <v>1</v>
      </c>
      <c r="AX76" s="126">
        <f>AV76-AW76</f>
        <v>3</v>
      </c>
      <c r="AY76" s="126">
        <f>AX76-MIN(AX74:AX77)</f>
        <v>6</v>
      </c>
      <c r="AZ76" s="126">
        <f>AT76/AT78*1000+AU76/AU78*100+AY76/AY78*10+AV76/AV78</f>
        <v>509.57142857142856</v>
      </c>
      <c r="BA76" s="126">
        <f>AZ76/AZ78</f>
        <v>0.99804141018466708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3</v>
      </c>
      <c r="G77" s="20">
        <v>2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2</v>
      </c>
      <c r="O77" s="23" t="str">
        <f>VLOOKUP(3,AD74:AN77,6,FALSE) &amp; " - " &amp; VLOOKUP(3,AD74:AN77,7,FALSE)</f>
        <v>6 - 6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>Colombia_win</v>
      </c>
      <c r="T77" s="127" t="str">
        <f t="shared" si="20"/>
        <v>Portugal_lose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1</v>
      </c>
      <c r="AD77" s="123">
        <f>COUNTIF(AR74:AR77,CONCATENATE("&gt;=",AR77))</f>
        <v>2</v>
      </c>
      <c r="AE77" s="124" t="str">
        <f>VLOOKUP("Panama",T,lang,FALSE)</f>
        <v>Panama</v>
      </c>
      <c r="AF77" s="123">
        <f>COUNTIF($S$7:$T$78,"=" &amp; AE77 &amp; "_win")</f>
        <v>2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7</v>
      </c>
      <c r="AJ77" s="123">
        <f>SUMIF($E$7:$E$78,$AE77,$G$7:$G$78) + SUMIF($H$7:$H$78,$AE77,$F$7:$F$78)</f>
        <v>5</v>
      </c>
      <c r="AL77" s="123">
        <f>AI77-AJ77</f>
        <v>2</v>
      </c>
      <c r="AM77" s="123">
        <f>AL77-AL78</f>
        <v>4</v>
      </c>
      <c r="AN77" s="123">
        <f>AF77*3+AG77</f>
        <v>6</v>
      </c>
      <c r="AO77" s="123">
        <f>AN77/AN78*10+BA77</f>
        <v>8.57471620433288</v>
      </c>
      <c r="AP77" s="123">
        <f>AO77*10000000+BI77*100+AM77/AM78*10+AI77/AI78*1++IF(AQ77=0,ROW(),AQ77)/2000000</f>
        <v>85747170.919099122</v>
      </c>
      <c r="AQ77" s="126">
        <f>VLOOKUP(AE77,db_fifarank,2,FALSE)</f>
        <v>1540.64</v>
      </c>
      <c r="AR77" s="125">
        <f>AP77/AP78</f>
        <v>0.89635721585214589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1</v>
      </c>
      <c r="AW77" s="126" cm="1">
        <f t="array" ref="AW77">SUMPRODUCT(($E$7:$E$78=AE77)*($U$7:$U$78)*($G$7:$G$78))+SUMPRODUCT(($H$7:$H$78=AE77)*($U$7:$U$78)*($F$7:$F$78))</f>
        <v>3</v>
      </c>
      <c r="AX77" s="126">
        <f>AV77-AW77</f>
        <v>-2</v>
      </c>
      <c r="AY77" s="126">
        <f>AX77-MIN(AX74:AX77)</f>
        <v>1</v>
      </c>
      <c r="AZ77" s="126">
        <f>AT77/AT78*1000+AU77/AU78*100+AY77/AY78*10+AV77/AV78</f>
        <v>1.6785714285714284</v>
      </c>
      <c r="BA77" s="126">
        <f>AZ77/AZ78</f>
        <v>3.2876329043088973E-3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2</v>
      </c>
      <c r="G78" s="20">
        <v>2</v>
      </c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3</v>
      </c>
      <c r="L78" s="36">
        <f>VLOOKUP(4,AD74:AN77,3,FALSE)</f>
        <v>1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6 - 8</v>
      </c>
      <c r="P78" s="37">
        <f>L78*3+M78</f>
        <v>3</v>
      </c>
      <c r="R78" s="123">
        <f>DATE(2026,6,27)+TIME(12,30,0)+gmt_delta</f>
        <v>46200.979166666672</v>
      </c>
      <c r="S78" s="127" t="str">
        <f t="shared" si="19"/>
        <v>DR Congo_draw</v>
      </c>
      <c r="T78" s="127" t="str">
        <f t="shared" si="20"/>
        <v>Uzbekistan_draw</v>
      </c>
      <c r="U78" s="123">
        <f t="shared" si="31"/>
        <v>1</v>
      </c>
      <c r="V78" s="123">
        <f t="shared" si="21"/>
        <v>2</v>
      </c>
      <c r="W78" s="123">
        <f t="shared" si="22"/>
        <v>2</v>
      </c>
      <c r="X78" s="123">
        <f t="shared" si="32"/>
        <v>1</v>
      </c>
      <c r="Y78" s="123">
        <f t="shared" si="33"/>
        <v>2</v>
      </c>
      <c r="Z78" s="123">
        <f t="shared" si="34"/>
        <v>2</v>
      </c>
      <c r="AA78" s="123">
        <f t="shared" si="29"/>
        <v>0</v>
      </c>
      <c r="AB78" s="123">
        <f t="shared" si="23"/>
        <v>0</v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8</v>
      </c>
      <c r="AL78" s="123">
        <f>MIN(AL74:AL77)</f>
        <v>-2</v>
      </c>
      <c r="AM78" s="123">
        <f>MAX(AM74:AM77)+1</f>
        <v>5</v>
      </c>
      <c r="AN78" s="123">
        <f>MAX(AN74:AN77)+1</f>
        <v>7</v>
      </c>
      <c r="AO78" s="123">
        <f>MAX(AO74:AO77)+1</f>
        <v>10.56618234870893</v>
      </c>
      <c r="AP78" s="123">
        <f>MAX(AP74:AP77)+1</f>
        <v>95661829.23800227</v>
      </c>
      <c r="AT78" s="126">
        <f>MAX(AT74:AT77)-MIN(AT74:AT77)+1</f>
        <v>2</v>
      </c>
      <c r="AU78" s="126">
        <f>MAX(AU74:AU77)-MIN(AU74:AU77)+1</f>
        <v>1</v>
      </c>
      <c r="AV78" s="126">
        <f>MAX(AV74:AV77)-MIN(AV74:AV77)+1</f>
        <v>4</v>
      </c>
      <c r="AW78" s="126">
        <f>MAX(AW74:AW77)-MIN(AW74:AW77)+1</f>
        <v>4</v>
      </c>
      <c r="AY78" s="126">
        <f>MAX(AY74:AY77)-MIN(AY74:AY77)+1</f>
        <v>7</v>
      </c>
      <c r="AZ78" s="126">
        <f>MAX(AZ74:AZ77)+1</f>
        <v>510.57142857142856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</v>
      </c>
      <c r="AE80" s="124" t="str">
        <f>J11</f>
        <v>South Africa</v>
      </c>
      <c r="AF80" s="123">
        <f>VLOOKUP($AE80,$AE$8:$AQ$78,2,FALSE)</f>
        <v>2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7</v>
      </c>
      <c r="AJ80" s="123">
        <f>VLOOKUP($AE80,$AE$8:$AQ$78,6,FALSE)</f>
        <v>6</v>
      </c>
      <c r="AK80" s="123" t="s">
        <v>3180</v>
      </c>
      <c r="AL80" s="123">
        <f>VLOOKUP($AE80,$AE$8:$AQ$78,8,FALSE)</f>
        <v>1</v>
      </c>
      <c r="AM80" s="123">
        <f>AL80-$AL$92</f>
        <v>4</v>
      </c>
      <c r="AN80" s="123">
        <f>VLOOKUP($AE80,$AE$8:$AQ$78,10,FALSE)</f>
        <v>6</v>
      </c>
      <c r="AP80" s="123">
        <f>AN80/AN92*10000+AM80/AM92*1000+AI80/AI92*100+IF(AQ80=0,ROW(),AQ80)/2000000</f>
        <v>9458.9292862935708</v>
      </c>
      <c r="AQ80" s="126">
        <f t="shared" ref="AQ80:AQ91" si="37">VLOOKUP($AE80,$AE$8:$AQ$78,13,FALSE)</f>
        <v>1429.73</v>
      </c>
      <c r="AR80" s="125" t="str">
        <f>IF(AD80&lt;=8,RIGHT(AK80,1),"")</f>
        <v>A</v>
      </c>
      <c r="AS80" s="129" t="str">
        <f>IF(AD80&lt;=8,AE80,"")</f>
        <v>South Africa</v>
      </c>
      <c r="AT80" s="130" t="str">
        <f>"Ⓐ "&amp;AE80</f>
        <v>Ⓐ South Africa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Ⓐ South Africa</v>
      </c>
      <c r="K81" s="97">
        <f>L81+M81+N81</f>
        <v>3</v>
      </c>
      <c r="L81" s="97">
        <f>VLOOKUP(1,$AD$80:$AN$91,3,FALSE)</f>
        <v>2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7 - 6</v>
      </c>
      <c r="P81" s="98">
        <f>L81*3+M81</f>
        <v>6</v>
      </c>
      <c r="AD81" s="123">
        <f t="shared" ref="AD81:AD91" si="38">COUNTIF($AP$80:$AP$91,CONCATENATE("&gt;=",AP81))</f>
        <v>11</v>
      </c>
      <c r="AE81" s="124" t="str">
        <f>J17</f>
        <v>Canada</v>
      </c>
      <c r="AF81" s="123">
        <f t="shared" ref="AF81:AF91" si="39">VLOOKUP($AE81,$AE$8:$AQ$78,2,FALSE)</f>
        <v>1</v>
      </c>
      <c r="AG81" s="123">
        <f>VLOOKUP($AE81,$AE$8:$AQ$78,3,FALSE)</f>
        <v>0</v>
      </c>
      <c r="AH81" s="123">
        <f t="shared" ref="AH81:AH90" si="40">VLOOKUP($AE81,$AE$8:$AQ$78,4,FALSE)</f>
        <v>2</v>
      </c>
      <c r="AI81" s="123">
        <f t="shared" ref="AI81:AI90" si="41">VLOOKUP($AE81,$AE$8:$AQ$78,5,FALSE)</f>
        <v>6</v>
      </c>
      <c r="AJ81" s="123">
        <f t="shared" ref="AJ81:AJ90" si="42">VLOOKUP($AE81,$AE$8:$AQ$78,6,FALSE)</f>
        <v>9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3</v>
      </c>
      <c r="AP81" s="123">
        <f>AN81/AN92*10000+AM81/AM92*1000+AI81/AI92*100+IF(AQ81=0,ROW(),AQ81)/2000000</f>
        <v>4360.7150639542851</v>
      </c>
      <c r="AQ81" s="126">
        <f t="shared" si="37"/>
        <v>1556.48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Canada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Ⓚ Uzbekistan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3</v>
      </c>
      <c r="AE82" s="124" t="str">
        <f>J23</f>
        <v>Morocco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6</v>
      </c>
      <c r="AJ82" s="123">
        <f t="shared" si="42"/>
        <v>6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4960.7151636492854</v>
      </c>
      <c r="AQ82" s="126">
        <f t="shared" si="37"/>
        <v>1755.87</v>
      </c>
      <c r="AR82" s="125" t="str">
        <f t="shared" ref="AR82:AR91" si="50">AR81&amp;IF(AD82&lt;=8,RIGHT(AK82,1),"")</f>
        <v>AC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Ⓒ Morocco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2</v>
      </c>
      <c r="O83" s="100" t="str">
        <f>VLOOKUP(3,$AD$80:$AN$91,6,FALSE) &amp; " - " &amp; VLOOKUP(3,$AD$80:$AN$91,7,FALSE)</f>
        <v>6 - 6</v>
      </c>
      <c r="P83" s="101">
        <f t="shared" si="48"/>
        <v>3</v>
      </c>
      <c r="AD83" s="123">
        <f t="shared" si="38"/>
        <v>8</v>
      </c>
      <c r="AE83" s="124" t="str">
        <f>J29</f>
        <v>United States</v>
      </c>
      <c r="AF83" s="123">
        <f t="shared" si="39"/>
        <v>1</v>
      </c>
      <c r="AG83" s="123">
        <f t="shared" si="49"/>
        <v>0</v>
      </c>
      <c r="AH83" s="123">
        <f t="shared" si="40"/>
        <v>2</v>
      </c>
      <c r="AI83" s="123">
        <f t="shared" si="41"/>
        <v>7</v>
      </c>
      <c r="AJ83" s="123">
        <f t="shared" si="42"/>
        <v>9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4573.2151222792854</v>
      </c>
      <c r="AQ83" s="126">
        <f t="shared" si="37"/>
        <v>1673.13</v>
      </c>
      <c r="AR83" s="125" t="str">
        <f t="shared" si="50"/>
        <v>ACD</v>
      </c>
      <c r="AS83" s="129" t="str">
        <f t="shared" si="46"/>
        <v>United States</v>
      </c>
      <c r="AT83" s="130" t="str">
        <f>"Ⓓ "&amp;AE83</f>
        <v>Ⓓ United States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2</v>
      </c>
      <c r="O84" s="100" t="str">
        <f>VLOOKUP(4,$AD$80:$AN$91,6,FALSE) &amp; " - " &amp; VLOOKUP(4,$AD$80:$AN$91,7,FALSE)</f>
        <v>6 - 6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Germany</v>
      </c>
      <c r="T84" s="127" t="str" cm="1">
        <f t="array" ref="T84">IF(OR(S84="",S84="draw"),INDEX(T,86,lang),S84)</f>
        <v>Germany</v>
      </c>
      <c r="AD84" s="123">
        <f t="shared" si="38"/>
        <v>9</v>
      </c>
      <c r="AE84" s="124" t="str">
        <f>J35</f>
        <v>Curaçao</v>
      </c>
      <c r="AF84" s="123">
        <f t="shared" si="39"/>
        <v>1</v>
      </c>
      <c r="AG84" s="123">
        <f t="shared" si="49"/>
        <v>0</v>
      </c>
      <c r="AH84" s="123">
        <f t="shared" si="40"/>
        <v>2</v>
      </c>
      <c r="AI84" s="123">
        <f t="shared" si="41"/>
        <v>6</v>
      </c>
      <c r="AJ84" s="123">
        <f t="shared" si="42"/>
        <v>8</v>
      </c>
      <c r="AK84" s="123" t="s">
        <v>3185</v>
      </c>
      <c r="AL84" s="123">
        <f t="shared" si="43"/>
        <v>-2</v>
      </c>
      <c r="AM84" s="123">
        <f t="shared" si="44"/>
        <v>1</v>
      </c>
      <c r="AN84" s="123">
        <f t="shared" si="45"/>
        <v>3</v>
      </c>
      <c r="AP84" s="123">
        <f>AN84/AN92*10000+AM84/AM92*1000+AI84/AI92*100+IF(AQ84=0,ROW(),AQ84)/2000000</f>
        <v>4560.7149330392849</v>
      </c>
      <c r="AQ84" s="126">
        <f t="shared" si="37"/>
        <v>1294.6500000000001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Curaçao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Ⓕ Sweden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2</v>
      </c>
      <c r="O85" s="100" t="str">
        <f>VLOOKUP(5,$AD$80:$AN$91,6,FALSE) &amp; " - " &amp; VLOOKUP(5,$AD$80:$AN$91,7,FALSE)</f>
        <v>7 - 8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Norway</v>
      </c>
      <c r="T85" s="127" t="str" cm="1">
        <f t="array" ref="T85">IF(OR(S85="",S85="draw"),INDEX(T,87,lang),S85)</f>
        <v>Norway</v>
      </c>
      <c r="AD85" s="123">
        <f t="shared" si="38"/>
        <v>5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2</v>
      </c>
      <c r="AI85" s="123">
        <f t="shared" si="41"/>
        <v>7</v>
      </c>
      <c r="AJ85" s="123">
        <f t="shared" si="42"/>
        <v>8</v>
      </c>
      <c r="AK85" s="123" t="s">
        <v>3186</v>
      </c>
      <c r="AL85" s="123">
        <f t="shared" si="43"/>
        <v>-1</v>
      </c>
      <c r="AM85" s="123">
        <f t="shared" si="44"/>
        <v>2</v>
      </c>
      <c r="AN85" s="123">
        <f t="shared" si="45"/>
        <v>3</v>
      </c>
      <c r="AP85" s="123">
        <f>AN85/AN92*10000+AM85/AM92*1000+AI85/AI92*100+IF(AQ85=0,ROW(),AQ85)/2000000</f>
        <v>4773.2150430992851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Ⓘ Senegal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0</v>
      </c>
      <c r="N86" s="100">
        <f>VLOOKUP(6,$AD$80:$AN$91,5,FALSE)</f>
        <v>2</v>
      </c>
      <c r="O86" s="100" t="str">
        <f>VLOOKUP(6,$AD$80:$AN$91,6,FALSE) &amp; " - " &amp; VLOOKUP(6,$AD$80:$AN$91,7,FALSE)</f>
        <v>6 - 7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Panama</v>
      </c>
      <c r="T86" s="127" t="str" cm="1">
        <f t="array" ref="T86">IF(OR(S86="",S86="draw"),INDEX(T,88,lang),S86)</f>
        <v>Panama</v>
      </c>
      <c r="AD86" s="123">
        <f t="shared" si="38"/>
        <v>10</v>
      </c>
      <c r="AE86" s="124" t="str">
        <f>J47</f>
        <v>Iran</v>
      </c>
      <c r="AF86" s="123">
        <f t="shared" si="39"/>
        <v>1</v>
      </c>
      <c r="AG86" s="123">
        <f t="shared" si="49"/>
        <v>0</v>
      </c>
      <c r="AH86" s="123">
        <f t="shared" si="40"/>
        <v>2</v>
      </c>
      <c r="AI86" s="123">
        <f t="shared" si="41"/>
        <v>5</v>
      </c>
      <c r="AJ86" s="123">
        <f t="shared" si="42"/>
        <v>7</v>
      </c>
      <c r="AK86" s="123" t="s">
        <v>3187</v>
      </c>
      <c r="AL86" s="123">
        <f t="shared" si="43"/>
        <v>-2</v>
      </c>
      <c r="AM86" s="123">
        <f t="shared" si="44"/>
        <v>1</v>
      </c>
      <c r="AN86" s="123">
        <f t="shared" si="45"/>
        <v>3</v>
      </c>
      <c r="AP86" s="123">
        <f>AN86/AN92*10000+AM86/AM92*1000+AI86/AI92*100+IF(AQ86=0,ROW(),AQ86)/2000000</f>
        <v>4548.2150933642852</v>
      </c>
      <c r="AQ86" s="126">
        <f t="shared" si="37"/>
        <v>1615.3</v>
      </c>
      <c r="AR86" s="125" t="str">
        <f t="shared" si="50"/>
        <v>ACDF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Ⓗ Saudi Arabia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0</v>
      </c>
      <c r="N87" s="100">
        <f>VLOOKUP(7,$AD$80:$AN$91,5,FALSE)</f>
        <v>2</v>
      </c>
      <c r="O87" s="100" t="str">
        <f>VLOOKUP(7,$AD$80:$AN$91,6,FALSE) &amp; " - " &amp; VLOOKUP(7,$AD$80:$AN$91,7,FALSE)</f>
        <v>5 - 6</v>
      </c>
      <c r="P87" s="101">
        <f t="shared" si="48"/>
        <v>3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7</v>
      </c>
      <c r="AE87" s="124" t="str">
        <f>J53</f>
        <v>Saudi Arabia</v>
      </c>
      <c r="AF87" s="123">
        <f t="shared" si="39"/>
        <v>1</v>
      </c>
      <c r="AG87" s="123">
        <f t="shared" si="49"/>
        <v>0</v>
      </c>
      <c r="AH87" s="123">
        <f t="shared" si="40"/>
        <v>2</v>
      </c>
      <c r="AI87" s="123">
        <f t="shared" si="41"/>
        <v>5</v>
      </c>
      <c r="AJ87" s="123">
        <f t="shared" si="42"/>
        <v>6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3</v>
      </c>
      <c r="AP87" s="123">
        <f>AN87/AN92*10000+AM87/AM92*1000+AI87/AI92*100+IF(AQ87=0,ROW(),AQ87)/2000000</f>
        <v>4748.2149964292857</v>
      </c>
      <c r="AQ87" s="126">
        <f t="shared" si="37"/>
        <v>1421.43</v>
      </c>
      <c r="AR87" s="125" t="str">
        <f t="shared" si="50"/>
        <v>ACDFH</v>
      </c>
      <c r="AS87" s="129" t="str">
        <f t="shared" si="46"/>
        <v>Saudi Arabia</v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Ⓓ United States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7 - 9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Switzerland</v>
      </c>
      <c r="T88" s="127" t="str" cm="1">
        <f t="array" ref="T88">IF(OR(S88="",S88="draw"),INDEX(T,90,lang),S88)</f>
        <v>Switzerland</v>
      </c>
      <c r="AD88" s="123">
        <f t="shared" si="38"/>
        <v>6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6</v>
      </c>
      <c r="AJ88" s="123">
        <f t="shared" si="42"/>
        <v>7</v>
      </c>
      <c r="AK88" s="123" t="s">
        <v>3189</v>
      </c>
      <c r="AL88" s="123">
        <f t="shared" si="43"/>
        <v>-1</v>
      </c>
      <c r="AM88" s="123">
        <f t="shared" si="44"/>
        <v>2</v>
      </c>
      <c r="AN88" s="123">
        <f t="shared" si="45"/>
        <v>3</v>
      </c>
      <c r="AP88" s="123">
        <f>AN88/AN92*10000+AM88/AM92*1000+AI88/AI92*100+IF(AQ88=0,ROW(),AQ88)/2000000</f>
        <v>4760.7151302092852</v>
      </c>
      <c r="AQ88" s="126">
        <f t="shared" si="37"/>
        <v>1688.99</v>
      </c>
      <c r="AR88" s="125" t="str">
        <f t="shared" si="50"/>
        <v>ACDFHI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Curaçao</v>
      </c>
      <c r="K89" s="103">
        <f t="shared" si="47"/>
        <v>3</v>
      </c>
      <c r="L89" s="103">
        <f>VLOOKUP(9,$AD$80:$AN$91,3,FALSE)</f>
        <v>1</v>
      </c>
      <c r="M89" s="103">
        <f>VLOOKUP(9,$AD$80:$AN$91,4,FALSE)</f>
        <v>0</v>
      </c>
      <c r="N89" s="103">
        <f>VLOOKUP(9,$AD$80:$AN$91,5,FALSE)</f>
        <v>2</v>
      </c>
      <c r="O89" s="103" t="str">
        <f>VLOOKUP(9,$AD$80:$AN$91,6,FALSE) &amp; " - " &amp; VLOOKUP(9,$AD$80:$AN$91,7,FALSE)</f>
        <v>6 - 8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Scotland</v>
      </c>
      <c r="T89" s="127" t="str" cm="1">
        <f t="array" ref="T89">IF(OR(S89="",S89="draw"),INDEX(T,91,lang),S89)</f>
        <v>Scotland</v>
      </c>
      <c r="AD89" s="123">
        <f t="shared" si="38"/>
        <v>12</v>
      </c>
      <c r="AE89" s="124" t="str">
        <f>J65</f>
        <v>Jordan</v>
      </c>
      <c r="AF89" s="123">
        <f t="shared" si="39"/>
        <v>1</v>
      </c>
      <c r="AG89" s="123">
        <f t="shared" si="49"/>
        <v>0</v>
      </c>
      <c r="AH89" s="123">
        <f t="shared" si="40"/>
        <v>2</v>
      </c>
      <c r="AI89" s="123">
        <f t="shared" si="41"/>
        <v>6</v>
      </c>
      <c r="AJ89" s="123">
        <f t="shared" si="42"/>
        <v>9</v>
      </c>
      <c r="AK89" s="123" t="s">
        <v>3190</v>
      </c>
      <c r="AL89" s="123">
        <f t="shared" si="43"/>
        <v>-3</v>
      </c>
      <c r="AM89" s="123">
        <f t="shared" si="44"/>
        <v>0</v>
      </c>
      <c r="AN89" s="123">
        <f t="shared" si="45"/>
        <v>3</v>
      </c>
      <c r="AP89" s="123">
        <f>AN89/AN92*10000+AM89/AM92*1000+AI89/AI92*100+IF(AQ89=0,ROW(),AQ89)/2000000</f>
        <v>4360.7149814392851</v>
      </c>
      <c r="AQ89" s="126">
        <f t="shared" si="37"/>
        <v>1391.45</v>
      </c>
      <c r="AR89" s="125" t="str">
        <f t="shared" si="50"/>
        <v>ACDFHI</v>
      </c>
      <c r="AS89" s="129" t="str">
        <f t="shared" si="46"/>
        <v/>
      </c>
      <c r="AT89" s="130" t="str">
        <f>"Ⓙ "&amp;AE89</f>
        <v>Ⓙ Jordan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Ⓖ Iran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5 - 7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Senegal</v>
      </c>
      <c r="T90" s="127" t="str" cm="1">
        <f t="array" ref="T90">IF(OR(S90="",S90="draw"),INDEX(T,92,lang),S90)</f>
        <v>Senegal</v>
      </c>
      <c r="AD90" s="123">
        <f t="shared" si="38"/>
        <v>2</v>
      </c>
      <c r="AE90" s="124" t="str">
        <f>J71</f>
        <v>Uzbekistan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7</v>
      </c>
      <c r="AJ90" s="123">
        <f t="shared" si="42"/>
        <v>7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4</v>
      </c>
      <c r="AP90" s="123">
        <f>AN90/AN92*10000+AM90/AM92*1000+AI90/AI92*100+IF(AQ90=0,ROW(),AQ90)/2000000</f>
        <v>6401.7864469557135</v>
      </c>
      <c r="AQ90" s="126">
        <f t="shared" si="37"/>
        <v>1465.34</v>
      </c>
      <c r="AR90" s="125" t="str">
        <f t="shared" si="50"/>
        <v>ACDFHIK</v>
      </c>
      <c r="AS90" s="129" t="str">
        <f t="shared" si="46"/>
        <v>Uzbekistan</v>
      </c>
      <c r="AT90" s="130" t="str">
        <f>"Ⓚ "&amp;AE90</f>
        <v>Ⓚ Uzbekistan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Ⓑ Canada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6 - 9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2</v>
      </c>
      <c r="AI91" s="123">
        <f>VLOOKUP($AE91,$AE$8:$AQ$78,5,FALSE)</f>
        <v>6</v>
      </c>
      <c r="AJ91" s="123">
        <f>VLOOKUP($AE91,$AE$8:$AQ$78,6,FALSE)</f>
        <v>6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3</v>
      </c>
      <c r="AP91" s="123">
        <f>AN91/AN92*10000+AM91/AM92*1000+AI91/AI92*100+IF(AQ91=0,ROW(),AQ91)/2000000</f>
        <v>4960.7149588692855</v>
      </c>
      <c r="AQ91" s="126">
        <f t="shared" si="37"/>
        <v>1346.31</v>
      </c>
      <c r="AR91" s="125" t="str">
        <f t="shared" si="50"/>
        <v>ACDFHIKL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Ⓙ Jordan</v>
      </c>
      <c r="K92" s="106">
        <f t="shared" si="47"/>
        <v>3</v>
      </c>
      <c r="L92" s="106">
        <f>VLOOKUP(12,$AD$80:$AN$91,3,FALSE)</f>
        <v>1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6 - 9</v>
      </c>
      <c r="P92" s="107">
        <f t="shared" si="48"/>
        <v>3</v>
      </c>
      <c r="AF92" s="123">
        <f>MAX(AF80:AF91)+1</f>
        <v>3</v>
      </c>
      <c r="AG92" s="123">
        <f>MAX(AG80:AG91)+1</f>
        <v>2</v>
      </c>
      <c r="AH92" s="123">
        <f>MAX(AH80:AH91)+1</f>
        <v>3</v>
      </c>
      <c r="AI92" s="123">
        <f>MAX(AI80:AI91)+1</f>
        <v>8</v>
      </c>
      <c r="AJ92" s="123">
        <f>MAX(AJ80:AJ91)+1</f>
        <v>10</v>
      </c>
      <c r="AL92" s="123">
        <f>MIN(AL80:AL91)</f>
        <v>-3</v>
      </c>
      <c r="AM92" s="123">
        <f>MAX(AM80:AM91)+1</f>
        <v>5</v>
      </c>
      <c r="AN92" s="123">
        <f>MAX(AN80:AN91)+1</f>
        <v>7</v>
      </c>
      <c r="AS92" s="126" t="b">
        <f>SUM(K9:K78)=144</f>
        <v>1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>Norway</v>
      </c>
      <c r="T95" s="127" t="str" cm="1">
        <f t="array" ref="T95">IF(OR(S95="",S95="draw"),INDEX(T,94,lang),S95)</f>
        <v>Norway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>Scotland</v>
      </c>
      <c r="T96" s="127" t="str" cm="1">
        <f t="array" ref="T96">IF(OR(S96="",S96="draw"),INDEX(T,95,lang),S96)</f>
        <v>Scotland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>Spain</v>
      </c>
      <c r="T97" s="127" t="str" cm="1">
        <f t="array" ref="T97">IF(OR(S97="",S97="draw"),INDEX(T,96,lang),S97)</f>
        <v>Spain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>Belgium</v>
      </c>
      <c r="T98" s="127" t="str" cm="1">
        <f t="array" ref="T98">IF(OR(S98="",S98="draw"),INDEX(T,97,lang),S98)</f>
        <v>Belgium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>Norway</v>
      </c>
      <c r="T102" s="127" t="str" cm="1">
        <f t="array" ref="T102">IF(OR(S102="",S102="draw"),INDEX(T,98,lang),S102)</f>
        <v>Norway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>Scotland</v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t="str" cm="1">
        <f t="array" ref="AC102">IF(OR(U102="",U102="draw"),INDEX(T,100,lang),U102)</f>
        <v>Scotland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>Spain</v>
      </c>
      <c r="T103" s="127" t="str" cm="1">
        <f t="array" ref="T103">IF(OR(S103="",S103="draw"),INDEX(T,99,lang),S103)</f>
        <v>Spain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>Belgium</v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t="str" cm="1">
        <f t="array" ref="AC103">IF(OR(U103="",U103="draw"),INDEX(T,101,lang),U103)</f>
        <v>Belgium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>Spain</v>
      </c>
      <c r="T111" s="127" t="str">
        <f>S111</f>
        <v>Spain</v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238</v>
      </c>
      <c r="C3" s="121" t="str">
        <f>'2026 World Cup'!AR91</f>
        <v>ACDFHIKL</v>
      </c>
      <c r="D3" s="121" t="str">
        <f>VLOOKUP($C3,$C$6:$K$500,2,FALSE)</f>
        <v>3H</v>
      </c>
      <c r="E3" s="121" t="str">
        <f>VLOOKUP($C3,$C$6:$K$500,3,FALSE)</f>
        <v>3F</v>
      </c>
      <c r="F3" s="121" t="str">
        <f>VLOOKUP($C3,$C$6:$K$500,4,FALSE)</f>
        <v>3I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3D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Goodwin</cp:lastModifiedBy>
  <cp:revision/>
  <dcterms:created xsi:type="dcterms:W3CDTF">2017-12-27T19:32:51Z</dcterms:created>
  <dcterms:modified xsi:type="dcterms:W3CDTF">2026-05-23T11:24:00Z</dcterms:modified>
  <cp:category>Sports</cp:category>
  <cp:contentStatus/>
</cp:coreProperties>
</file>